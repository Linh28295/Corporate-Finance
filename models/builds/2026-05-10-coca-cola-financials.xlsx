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Balance Sheet" sheetId="2" state="visible" r:id="rId2"/>
    <sheet name="Income Statement" sheetId="3" state="visible" r:id="rId3"/>
    <sheet name="Cash Flow Statement" sheetId="4" state="visible" r:id="rId4"/>
    <sheet name="Ratios" sheetId="5" state="visible" r:id="rId5"/>
    <sheet name="Notes" sheetId="6" state="visible" r:id="rId6"/>
  </sheets>
  <definedNames>
    <definedName name="avg_equity" hidden="0" function="0" vbProcedure="0">Ratios!$C$36</definedName>
    <definedName name="avg_total_assets" hidden="0" function="0" vbProcedure="0">Ratios!$C$37</definedName>
    <definedName name="avg_total_capitalization" hidden="0" function="0" vbProcedure="0">Ratios!$C$38</definedName>
    <definedName name="BAL_accounts_payable_curr" hidden="0" function="0" vbProcedure="0">'Balance Sheet'!$G$8</definedName>
    <definedName name="BAL_accounts_payable_prior" hidden="0" function="0" vbProcedure="0">'Balance Sheet'!$H$8</definedName>
    <definedName name="BAL_accumulated_depreciation_curr" hidden="0" function="0" vbProcedure="0">'Balance Sheet'!$C$15</definedName>
    <definedName name="BAL_accumulated_depreciation_prior" hidden="0" function="0" vbProcedure="0">'Balance Sheet'!$D$15</definedName>
    <definedName name="BAL_assets_current_curr" hidden="0" function="0" vbProcedure="0">'Balance Sheet'!$C$11</definedName>
    <definedName name="BAL_assets_current_prior" hidden="0" function="0" vbProcedure="0">'Balance Sheet'!$D$11</definedName>
    <definedName name="BAL_assets_total_curr" hidden="0" function="0" vbProcedure="0">'Balance Sheet'!$C$23</definedName>
    <definedName name="BAL_assets_total_prior" hidden="0" function="0" vbProcedure="0">'Balance Sheet'!$D$23</definedName>
    <definedName name="BAL_cash_marketable_securities_curr" hidden="0" function="0" vbProcedure="0">'Balance Sheet'!$C$7</definedName>
    <definedName name="BAL_cash_marketable_securities_prior" hidden="0" function="0" vbProcedure="0">'Balance Sheet'!$D$7</definedName>
    <definedName name="BAL_common_stock_curr" hidden="0" function="0" vbProcedure="0">'Balance Sheet'!$G$18</definedName>
    <definedName name="BAL_common_stock_prior" hidden="0" function="0" vbProcedure="0">'Balance Sheet'!$H$18</definedName>
    <definedName name="BAL_debt_long_term_curr" hidden="0" function="0" vbProcedure="0">'Balance Sheet'!$G$12</definedName>
    <definedName name="BAL_debt_long_term_prior" hidden="0" function="0" vbProcedure="0">'Balance Sheet'!$H$12</definedName>
    <definedName name="BAL_debt_short_term_curr" hidden="0" function="0" vbProcedure="0">'Balance Sheet'!$G$7</definedName>
    <definedName name="BAL_debt_short_term_prior" hidden="0" function="0" vbProcedure="0">'Balance Sheet'!$H$7</definedName>
    <definedName name="BAL_equity_shareholders_curr" hidden="0" function="0" vbProcedure="0">'Balance Sheet'!$G$20</definedName>
    <definedName name="BAL_equity_shareholders_prior" hidden="0" function="0" vbProcedure="0">'Balance Sheet'!$H$20</definedName>
    <definedName name="BAL_fixed_assets_net_curr" hidden="0" function="0" vbProcedure="0">'Balance Sheet'!$C$16</definedName>
    <definedName name="BAL_fixed_assets_net_prior" hidden="0" function="0" vbProcedure="0">'Balance Sheet'!$D$16</definedName>
    <definedName name="BAL_intangibles_curr" hidden="0" function="0" vbProcedure="0">'Balance Sheet'!$C$19</definedName>
    <definedName name="BAL_intangibles_prior" hidden="0" function="0" vbProcedure="0">'Balance Sheet'!$D$19</definedName>
    <definedName name="BAL_inventories_curr" hidden="0" function="0" vbProcedure="0">'Balance Sheet'!$C$9</definedName>
    <definedName name="BAL_inventories_prior" hidden="0" function="0" vbProcedure="0">'Balance Sheet'!$D$9</definedName>
    <definedName name="BAL_liabilities_current_curr" hidden="0" function="0" vbProcedure="0">'Balance Sheet'!$G$10</definedName>
    <definedName name="BAL_liabilities_current_prior" hidden="0" function="0" vbProcedure="0">'Balance Sheet'!$H$10</definedName>
    <definedName name="BAL_liabilities_total_curr" hidden="0" function="0" vbProcedure="0">'Balance Sheet'!$G$15</definedName>
    <definedName name="BAL_liabilities_total_prior" hidden="0" function="0" vbProcedure="0">'Balance Sheet'!$H$15</definedName>
    <definedName name="BAL_other_assets_curr" hidden="0" function="0" vbProcedure="0">'Balance Sheet'!$C$20</definedName>
    <definedName name="BAL_other_assets_prior" hidden="0" function="0" vbProcedure="0">'Balance Sheet'!$D$20</definedName>
    <definedName name="BAL_other_current_assets_curr" hidden="0" function="0" vbProcedure="0">'Balance Sheet'!$C$10</definedName>
    <definedName name="BAL_other_current_assets_prior" hidden="0" function="0" vbProcedure="0">'Balance Sheet'!$D$10</definedName>
    <definedName name="BAL_other_current_liabilities_curr" hidden="0" function="0" vbProcedure="0">'Balance Sheet'!$G$9</definedName>
    <definedName name="BAL_other_current_liabilities_prior" hidden="0" function="0" vbProcedure="0">'Balance Sheet'!$H$9</definedName>
    <definedName name="BAL_other_long_term_liabilities_curr" hidden="0" function="0" vbProcedure="0">'Balance Sheet'!$G$13</definedName>
    <definedName name="BAL_other_long_term_liabilities_prior" hidden="0" function="0" vbProcedure="0">'Balance Sheet'!$H$13</definedName>
    <definedName name="BAL_ppe_gross_curr" hidden="0" function="0" vbProcedure="0">'Balance Sheet'!$C$14</definedName>
    <definedName name="BAL_ppe_gross_prior" hidden="0" function="0" vbProcedure="0">'Balance Sheet'!$D$14</definedName>
    <definedName name="BAL_receivables_curr" hidden="0" function="0" vbProcedure="0">'Balance Sheet'!$C$8</definedName>
    <definedName name="BAL_receivables_prior" hidden="0" function="0" vbProcedure="0">'Balance Sheet'!$D$8</definedName>
    <definedName name="BAL_retained_earnings_curr" hidden="0" function="0" vbProcedure="0">'Balance Sheet'!$G$19</definedName>
    <definedName name="BAL_retained_earnings_prior" hidden="0" function="0" vbProcedure="0">'Balance Sheet'!$H$19</definedName>
    <definedName name="CASH_investments" hidden="0" function="0" vbProcedure="0">'Cash Flow Statement'!$C$22</definedName>
    <definedName name="CASH_operating" hidden="0" function="0" vbProcedure="0">'Cash Flow Statement'!$C$16</definedName>
    <definedName name="cost_capital" hidden="0" function="0" vbProcedure="0">Ratios!$C$10</definedName>
    <definedName name="currentYear_after_tax_operating_income" hidden="0" function="0" vbProcedure="0">Ratios!$C$22</definedName>
    <definedName name="currentYear_assets_current" hidden="0" function="0" vbProcedure="0">Ratios!$C$26</definedName>
    <definedName name="currentYear_assets_total" hidden="0" function="0" vbProcedure="0">Ratios!$C$31</definedName>
    <definedName name="currentYear_cash_marketable_securities" hidden="0" function="0" vbProcedure="0">Ratios!$C$25</definedName>
    <definedName name="currentYear_cost_goods_sold_daily" hidden="0" function="0" vbProcedure="0">Ratios!$C$28</definedName>
    <definedName name="currentYear_daily_sales_average" hidden="0" function="0" vbProcedure="0">Ratios!$C$23</definedName>
    <definedName name="currentYear_debt_long_term" hidden="0" function="0" vbProcedure="0">Ratios!$C$29</definedName>
    <definedName name="currentYear_equity" hidden="0" function="0" vbProcedure="0">Ratios!$C$24</definedName>
    <definedName name="currentYear_liabilities_current" hidden="0" function="0" vbProcedure="0">Ratios!$C$27</definedName>
    <definedName name="currentYear_liabilities_total" hidden="0" function="0" vbProcedure="0">Ratios!$C$33</definedName>
    <definedName name="currentYear_total_capitalization" hidden="0" function="0" vbProcedure="0">Ratios!$C$32</definedName>
    <definedName name="currentYear_working_capital_net" hidden="0" function="0" vbProcedure="0">Ratios!$C$30</definedName>
    <definedName name="INC_addition_retained_earnings" hidden="0" function="0" vbProcedure="0">'Income Statement'!$C$19</definedName>
    <definedName name="INC_cost_goods_sold" hidden="0" function="0" vbProcedure="0">'Income Statement'!$C$7</definedName>
    <definedName name="INC_depreciation" hidden="0" function="0" vbProcedure="0">'Income Statement'!$C$9</definedName>
    <definedName name="INC_dividends" hidden="0" function="0" vbProcedure="0">'Income Statement'!$C$18</definedName>
    <definedName name="INC_ebit" hidden="0" function="0" vbProcedure="0">'Income Statement'!$C$10</definedName>
    <definedName name="INC_interest_expense" hidden="0" function="0" vbProcedure="0">'Income Statement'!$C$12</definedName>
    <definedName name="INC_net" hidden="0" function="0" vbProcedure="0">'Income Statement'!$C$15</definedName>
    <definedName name="INC_other_income" hidden="0" function="0" vbProcedure="0">'Income Statement'!$C$11</definedName>
    <definedName name="INC_sales" hidden="0" function="0" vbProcedure="0">'Income Statement'!$C$6</definedName>
    <definedName name="INC_sga" hidden="0" function="0" vbProcedure="0">'Income Statement'!$C$8</definedName>
    <definedName name="INC_taxable_income" hidden="0" function="0" vbProcedure="0">'Income Statement'!$C$13</definedName>
    <definedName name="INC_taxes" hidden="0" function="0" vbProcedure="0">'Income Statement'!$C$14</definedName>
    <definedName name="market_capitalization" hidden="0" function="0" vbProcedure="0">Ratios!$C$12</definedName>
    <definedName name="RATIO_asset_turnover" hidden="0" function="0" vbProcedure="0">Ratios!$C$54</definedName>
    <definedName name="RATIO_debt_burden" hidden="0" function="0" vbProcedure="0">Ratios!$C$67</definedName>
    <definedName name="RATIO_leverage" hidden="0" function="0" vbProcedure="0">Ratios!$C$68</definedName>
    <definedName name="RATIO_operating_profit_margin" hidden="0" function="0" vbProcedure="0">Ratios!$C$60</definedName>
    <definedName name="shares_outstanding" hidden="0" function="0" vbProcedure="0">Ratios!$C$9</definedName>
    <definedName name="share_price" hidden="0" function="0" vbProcedure="0">Ratios!$C$8</definedName>
    <definedName name="startYear_equity" hidden="0" function="0" vbProcedure="0">Ratios!$C$15</definedName>
    <definedName name="startYear_inventory" hidden="0" function="0" vbProcedure="0">Ratios!$C$16</definedName>
    <definedName name="startYear_receivables" hidden="0" function="0" vbProcedure="0">Ratios!$C$17</definedName>
    <definedName name="startYear_total_assets" hidden="0" function="0" vbProcedure="0">Ratios!$C$18</definedName>
    <definedName name="startYear_total_capitalization" hidden="0" function="0" vbProcedure="0">Ratios!$C$19</definedName>
    <definedName name="tax_rate" hidden="0" function="0" vbProcedure="0">Ratios!$C$11</definedName>
    <definedName name="yearCurrent" hidden="0" function="0" vbProcedure="0">Ratios!$C$6</definedName>
    <definedName name="yearStart" hidden="0" function="0" vbProcedure="0">Ratios!$C$7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—"/>
    <numFmt numFmtId="165" formatCode="0.0%"/>
    <numFmt numFmtId="166" formatCode="0.0%;\(0.0%\);\—"/>
    <numFmt numFmtId="167" formatCode="\$#,##0.00"/>
    <numFmt numFmtId="168" formatCode="#,##0.00;\(#,##0.00\);\—"/>
    <numFmt numFmtId="169" formatCode="0.00\x"/>
    <numFmt numFmtId="170" formatCode="0.0&quot; days&quot;"/>
    <numFmt numFmtId="171" formatCode="0.000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Open Sans"/>
      <charset val="1"/>
      <family val="0"/>
      <b val="1"/>
      <color rgb="FF024731"/>
      <sz val="9"/>
    </font>
    <font>
      <name val="Open Sans"/>
      <charset val="1"/>
      <family val="0"/>
      <b val="1"/>
      <color rgb="FF000000"/>
      <sz val="18"/>
    </font>
    <font>
      <name val="Open Sans"/>
      <charset val="1"/>
      <family val="0"/>
      <color rgb="FF525252"/>
      <sz val="12"/>
    </font>
    <font>
      <name val="Open Sans"/>
      <charset val="1"/>
      <family val="0"/>
      <b val="1"/>
      <color rgb="FF024731"/>
      <sz val="13"/>
    </font>
    <font>
      <name val="Open Sans"/>
      <charset val="1"/>
      <family val="0"/>
      <b val="1"/>
      <color rgb="FF024731"/>
      <sz val="10"/>
    </font>
    <font>
      <name val="Open Sans"/>
      <charset val="1"/>
      <family val="0"/>
      <color rgb="FF000000"/>
      <sz val="10"/>
    </font>
    <font>
      <name val="Open Sans"/>
      <charset val="1"/>
      <family val="0"/>
      <b val="1"/>
      <color rgb="FFFFFFFF"/>
      <sz val="11"/>
    </font>
    <font>
      <name val="Open Sans"/>
      <charset val="1"/>
      <family val="0"/>
      <b val="1"/>
      <color rgb="FF0000FF"/>
      <sz val="10"/>
    </font>
    <font>
      <name val="Open Sans"/>
      <charset val="1"/>
      <family val="0"/>
      <color rgb="FF008000"/>
      <sz val="10"/>
    </font>
    <font>
      <name val="Open Sans"/>
      <charset val="1"/>
      <family val="0"/>
      <b val="1"/>
      <color rgb="FF000000"/>
      <sz val="10"/>
    </font>
    <font>
      <name val="Consolas"/>
      <charset val="1"/>
      <family val="3"/>
      <color rgb="FF525252"/>
      <sz val="10"/>
    </font>
    <font>
      <name val="Open Sans"/>
      <charset val="1"/>
      <family val="0"/>
      <i val="1"/>
      <color rgb="FF525252"/>
      <sz val="8"/>
    </font>
    <font>
      <name val="Open Sans"/>
      <charset val="1"/>
      <family val="0"/>
      <b val="1"/>
      <color rgb="FF024731"/>
      <sz val="16"/>
    </font>
    <font>
      <name val="Open Sans"/>
      <charset val="1"/>
      <family val="0"/>
      <i val="1"/>
      <color rgb="FF525252"/>
      <sz val="9"/>
    </font>
    <font>
      <name val="Open Sans"/>
      <charset val="1"/>
      <family val="0"/>
      <i val="1"/>
      <color rgb="FF525252"/>
      <sz val="10"/>
    </font>
    <font>
      <name val="Consolas"/>
      <charset val="1"/>
      <family val="3"/>
      <color rgb="FF525252"/>
      <sz val="9"/>
    </font>
    <font>
      <name val="Open Sans"/>
      <charset val="1"/>
      <family val="0"/>
      <b val="1"/>
      <color rgb="FF024731"/>
      <sz val="11"/>
    </font>
    <font>
      <name val="Open Sans"/>
      <charset val="1"/>
      <family val="0"/>
      <color rgb="FF024731"/>
      <sz val="10"/>
    </font>
  </fonts>
  <fills count="8">
    <fill>
      <patternFill/>
    </fill>
    <fill>
      <patternFill patternType="gray125"/>
    </fill>
    <fill>
      <patternFill patternType="solid">
        <fgColor rgb="FF024731"/>
        <bgColor rgb="FF003366"/>
      </patternFill>
    </fill>
    <fill>
      <patternFill patternType="solid">
        <fgColor rgb="FFB2B2B2"/>
        <bgColor rgb="FF969696"/>
      </patternFill>
    </fill>
    <fill>
      <patternFill patternType="solid">
        <fgColor rgb="FFFFFFCC"/>
        <bgColor rgb="FFFFFFFF"/>
      </patternFill>
    </fill>
    <fill>
      <patternFill patternType="solid">
        <fgColor rgb="FFDCE6F1"/>
        <bgColor rgb="FFE6F2EF"/>
      </patternFill>
    </fill>
    <fill>
      <patternFill patternType="solid">
        <fgColor rgb="FFF2F2F2"/>
        <bgColor rgb="FFE6F2EF"/>
      </patternFill>
    </fill>
    <fill>
      <patternFill patternType="solid">
        <fgColor rgb="FFE6F2EF"/>
        <bgColor rgb="FFF2F2F2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/>
    </xf>
    <xf numFmtId="0" fontId="9" fillId="0" borderId="0" applyAlignment="1" pivotButton="0" quotePrefix="0" xfId="0">
      <alignment horizontal="general" vertical="top" wrapText="1"/>
    </xf>
    <xf numFmtId="0" fontId="10" fillId="2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6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left" vertical="bottom"/>
    </xf>
    <xf numFmtId="0" fontId="10" fillId="2" borderId="1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13" fillId="6" borderId="1" applyAlignment="1" pivotButton="0" quotePrefix="0" xfId="0">
      <alignment horizontal="general" vertical="bottom"/>
    </xf>
    <xf numFmtId="164" fontId="10" fillId="2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6" fontId="10" fillId="2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" fontId="11" fillId="5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1" fontId="12" fillId="0" borderId="1" applyAlignment="1" pivotButton="0" quotePrefix="0" xfId="0">
      <alignment horizontal="general" vertical="bottom"/>
    </xf>
    <xf numFmtId="167" fontId="11" fillId="5" borderId="1" applyAlignment="1" pivotButton="0" quotePrefix="0" xfId="0">
      <alignment horizontal="general" vertical="bottom"/>
    </xf>
    <xf numFmtId="3" fontId="11" fillId="5" borderId="1" applyAlignment="1" pivotButton="0" quotePrefix="0" xfId="0">
      <alignment horizontal="general" vertical="bottom"/>
    </xf>
    <xf numFmtId="165" fontId="11" fillId="5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0" fontId="20" fillId="7" borderId="0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164" fontId="9" fillId="6" borderId="1" applyAlignment="1" pivotButton="0" quotePrefix="0" xfId="0">
      <alignment horizontal="right" vertical="bottom"/>
    </xf>
    <xf numFmtId="169" fontId="9" fillId="6" borderId="1" applyAlignment="1" pivotButton="0" quotePrefix="0" xfId="0">
      <alignment horizontal="right" vertical="bottom"/>
    </xf>
    <xf numFmtId="166" fontId="9" fillId="6" borderId="1" applyAlignment="1" pivotButton="0" quotePrefix="0" xfId="0">
      <alignment horizontal="right" vertical="bottom"/>
    </xf>
    <xf numFmtId="170" fontId="9" fillId="6" borderId="1" applyAlignment="1" pivotButton="0" quotePrefix="0" xfId="0">
      <alignment horizontal="right" vertical="bottom"/>
    </xf>
    <xf numFmtId="171" fontId="9" fillId="6" borderId="1" applyAlignment="1" pivotButton="0" quotePrefix="0" xfId="0">
      <alignment horizontal="right" vertical="bottom"/>
    </xf>
    <xf numFmtId="49" fontId="21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/>
    </xf>
    <xf numFmtId="0" fontId="9" fillId="0" borderId="0" applyAlignment="1" pivotButton="0" quotePrefix="0" xfId="0">
      <alignment horizontal="general" vertical="top" wrapText="1"/>
    </xf>
    <xf numFmtId="0" fontId="10" fillId="2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6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left" vertical="bottom"/>
    </xf>
    <xf numFmtId="0" fontId="10" fillId="2" borderId="1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13" fillId="6" borderId="1" applyAlignment="1" pivotButton="0" quotePrefix="0" xfId="0">
      <alignment horizontal="general" vertical="bottom"/>
    </xf>
    <xf numFmtId="164" fontId="10" fillId="2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6" fontId="10" fillId="2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" fontId="11" fillId="5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1" fontId="12" fillId="0" borderId="1" applyAlignment="1" pivotButton="0" quotePrefix="0" xfId="0">
      <alignment horizontal="general" vertical="bottom"/>
    </xf>
    <xf numFmtId="167" fontId="11" fillId="5" borderId="1" applyAlignment="1" pivotButton="0" quotePrefix="0" xfId="0">
      <alignment horizontal="general" vertical="bottom"/>
    </xf>
    <xf numFmtId="3" fontId="11" fillId="5" borderId="1" applyAlignment="1" pivotButton="0" quotePrefix="0" xfId="0">
      <alignment horizontal="general" vertical="bottom"/>
    </xf>
    <xf numFmtId="165" fontId="11" fillId="5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0" fontId="20" fillId="7" borderId="0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164" fontId="9" fillId="6" borderId="1" applyAlignment="1" pivotButton="0" quotePrefix="0" xfId="0">
      <alignment horizontal="right" vertical="bottom"/>
    </xf>
    <xf numFmtId="169" fontId="9" fillId="6" borderId="1" applyAlignment="1" pivotButton="0" quotePrefix="0" xfId="0">
      <alignment horizontal="right" vertical="bottom"/>
    </xf>
    <xf numFmtId="166" fontId="9" fillId="6" borderId="1" applyAlignment="1" pivotButton="0" quotePrefix="0" xfId="0">
      <alignment horizontal="right" vertical="bottom"/>
    </xf>
    <xf numFmtId="170" fontId="9" fillId="6" borderId="1" applyAlignment="1" pivotButton="0" quotePrefix="0" xfId="0">
      <alignment horizontal="right" vertical="bottom"/>
    </xf>
    <xf numFmtId="171" fontId="9" fillId="6" borderId="1" applyAlignment="1" pivotButton="0" quotePrefix="0" xfId="0">
      <alignment horizontal="right" vertical="bottom"/>
    </xf>
    <xf numFmtId="49" fontId="21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E6F2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F2F2F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5252"/>
      <rgbColor rgb="FF969696"/>
      <rgbColor rgb="FF003366"/>
      <rgbColor rgb="FF339966"/>
      <rgbColor rgb="FF024731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10" activeCellId="0" sqref="B10"/>
    </sheetView>
  </sheetViews>
  <sheetFormatPr baseColWidth="8" defaultColWidth="8.6796875" defaultRowHeight="14.25" zeroHeight="0" outlineLevelRow="0"/>
  <cols>
    <col width="2" customWidth="1" style="52" min="1" max="1"/>
    <col width="28" customWidth="1" style="52" min="2" max="2"/>
    <col width="70" customWidth="1" style="52" min="3" max="3"/>
    <col width="2" customWidth="1" style="52" min="4" max="4"/>
  </cols>
  <sheetData>
    <row r="2" ht="7.5" customHeight="1" s="53">
      <c r="B2" s="54" t="n"/>
      <c r="C2" s="54" t="n"/>
    </row>
    <row r="4" ht="14.25" customHeight="1" s="53">
      <c r="B4" s="55" t="inlineStr">
        <is>
          <t>UNIVERSITY OF HAWAIʻI AT MĀNOA · SHIDLER COLLEGE OF BUSINESS</t>
        </is>
      </c>
    </row>
    <row r="5" ht="25.5" customHeight="1" s="53">
      <c r="B5" s="56" t="inlineStr">
        <is>
          <t>BUS-629 International Corporate Finance · Vietnam EMBA</t>
        </is>
      </c>
    </row>
    <row r="6" ht="18" customHeight="1" s="53">
      <c r="B6" s="57" t="inlineStr">
        <is>
          <t>Performance Ratios — Excel Template</t>
        </is>
      </c>
    </row>
    <row r="7" ht="3.75" customHeight="1" s="53">
      <c r="B7" s="58" t="n"/>
      <c r="C7" s="58" t="n"/>
    </row>
    <row r="9" ht="19.5" customHeight="1" s="53">
      <c r="B9" s="59" t="inlineStr">
        <is>
          <t>How to Use This Template</t>
        </is>
      </c>
    </row>
    <row r="10" ht="18" customHeight="1" s="53">
      <c r="B10" s="60" t="inlineStr">
        <is>
          <t>1.</t>
        </is>
      </c>
      <c r="C10" s="61" t="inlineStr">
        <is>
          <t>Enter prior-year and current-year balance-sheet figures on the Balance Sheet tab (Stage 3 task).</t>
        </is>
      </c>
    </row>
    <row r="11" ht="18" customHeight="1" s="53">
      <c r="B11" s="60" t="inlineStr">
        <is>
          <t>2.</t>
        </is>
      </c>
      <c r="C11" s="61" t="inlineStr">
        <is>
          <t>Enter current-year income-statement figures on the Income Statement tab (Stage 3 task).</t>
        </is>
      </c>
    </row>
    <row r="12" ht="18" customHeight="1" s="53">
      <c r="B12" s="60" t="inlineStr">
        <is>
          <t>3.</t>
        </is>
      </c>
      <c r="C12" s="61" t="inlineStr">
        <is>
          <t>Enter current-year cash-flow items on the Cash Flow Statement tab (Stage 3 task).</t>
        </is>
      </c>
    </row>
    <row r="13" ht="18" customHeight="1" s="53">
      <c r="B13" s="60" t="inlineStr">
        <is>
          <t>4.</t>
        </is>
      </c>
      <c r="C13" s="61" t="inlineStr">
        <is>
          <t>On the Ratios tab, enter the four analyst assumptions at top: share price, shares outstanding, cost of capital, tax rate.</t>
        </is>
      </c>
    </row>
    <row r="14" ht="18" customHeight="1" s="53">
      <c r="B14" s="60" t="inlineStr">
        <is>
          <t>5.</t>
        </is>
      </c>
      <c r="C14" s="61" t="inlineStr">
        <is>
          <t>Ratio outputs populate automatically in the Outputs section of the Ratios tab — no manual ratio computation required.</t>
        </is>
      </c>
    </row>
    <row r="15" ht="18" customHeight="1" s="53">
      <c r="B15" s="60" t="inlineStr">
        <is>
          <t>6.</t>
        </is>
      </c>
      <c r="C15" s="61" t="inlineStr">
        <is>
          <t>Document company metadata, data source, and AI usage on the Notes tab.</t>
        </is>
      </c>
    </row>
    <row r="17" ht="19.5" customHeight="1" s="53">
      <c r="B17" s="59" t="inlineStr">
        <is>
          <t>Color Key</t>
        </is>
      </c>
    </row>
    <row r="18" ht="16.5" customHeight="1" s="53">
      <c r="B18" s="62" t="inlineStr">
        <is>
          <t>Style</t>
        </is>
      </c>
      <c r="C18" s="62" t="inlineStr">
        <is>
          <t>Meaning</t>
        </is>
      </c>
    </row>
    <row r="19" ht="30" customHeight="1" s="53">
      <c r="B19" s="63" t="inlineStr">
        <is>
          <t>Sample</t>
        </is>
      </c>
      <c r="C19" s="64" t="inlineStr">
        <is>
          <t>Yellow background — DATA INPUTS. Numbers pulled from 10-K / financial statements. Overwrite with your company's figures.</t>
        </is>
      </c>
    </row>
    <row r="20" ht="30" customHeight="1" s="53">
      <c r="B20" s="65" t="inlineStr">
        <is>
          <t>12.3%</t>
        </is>
      </c>
      <c r="C20" s="64" t="inlineStr">
        <is>
          <t>Light-blue background + blue text — ASSUMPTIONS. Analyst inputs: share price, shares outstanding, WACC, tax rate, fiscal years.</t>
        </is>
      </c>
    </row>
    <row r="21" ht="30" customHeight="1" s="53">
      <c r="B21" s="66" t="inlineStr">
        <is>
          <t>f(x)</t>
        </is>
      </c>
      <c r="C21" s="64" t="inlineStr">
        <is>
          <t>Green text — FORMULAS. Cross-sheet references and derived calculations. Do not overwrite.</t>
        </is>
      </c>
    </row>
    <row r="22" ht="30" customHeight="1" s="53">
      <c r="B22" s="67" t="inlineStr">
        <is>
          <t>1.23x</t>
        </is>
      </c>
      <c r="C22" s="64" t="inlineStr">
        <is>
          <t>Gray background — RATIO OUTPUTS. Computed values in the Ratios tab. Do not overwrite.</t>
        </is>
      </c>
    </row>
    <row r="24" ht="19.5" customHeight="1" s="53">
      <c r="B24" s="59" t="inlineStr">
        <is>
          <t>Named-Range Convention</t>
        </is>
      </c>
    </row>
    <row r="25" ht="16.5" customHeight="1" s="53">
      <c r="B25" s="62" t="inlineStr">
        <is>
          <t>Prefix / Pattern</t>
        </is>
      </c>
      <c r="C25" s="62" t="inlineStr">
        <is>
          <t>Meaning</t>
        </is>
      </c>
    </row>
    <row r="26" ht="24" customHeight="1" s="53">
      <c r="B26" s="68" t="inlineStr">
        <is>
          <t>BAL_[item]_[yr]</t>
        </is>
      </c>
      <c r="C26" s="64" t="inlineStr">
        <is>
          <t>Balance-sheet line items, suffixed with fiscal year (e.g., BAL_assets_total_2024).</t>
        </is>
      </c>
    </row>
    <row r="27" ht="24" customHeight="1" s="53">
      <c r="B27" s="68" t="inlineStr">
        <is>
          <t>INC_[item]</t>
        </is>
      </c>
      <c r="C27" s="64" t="inlineStr">
        <is>
          <t>Income-statement items (e.g., INC_sales, INC_ebit, INC_net).</t>
        </is>
      </c>
    </row>
    <row r="28" ht="24" customHeight="1" s="53">
      <c r="B28" s="68" t="inlineStr">
        <is>
          <t>CASH_[item]</t>
        </is>
      </c>
      <c r="C28" s="64" t="inlineStr">
        <is>
          <t>Cash-flow items (e.g., CASH_operating).</t>
        </is>
      </c>
    </row>
    <row r="29" ht="24" customHeight="1" s="53">
      <c r="B29" s="68" t="inlineStr">
        <is>
          <t>share_price, shares_outstanding, cost_capital, tax_rate</t>
        </is>
      </c>
      <c r="C29" s="64" t="inlineStr">
        <is>
          <t>Analyst assumptions (no prefix).</t>
        </is>
      </c>
    </row>
    <row r="30" ht="24" customHeight="1" s="53">
      <c r="B30" s="68" t="inlineStr">
        <is>
          <t>startYear_[item]</t>
        </is>
      </c>
      <c r="C30" s="64" t="inlineStr">
        <is>
          <t>Alias for prior-year balance (e.g., startYear_equity ≡ BAL_equity_shareholders_prior).</t>
        </is>
      </c>
    </row>
    <row r="31" ht="24" customHeight="1" s="53">
      <c r="B31" s="68" t="inlineStr">
        <is>
          <t>currentYear_[item]</t>
        </is>
      </c>
      <c r="C31" s="64" t="inlineStr">
        <is>
          <t>Alias for current-year balance or derived current-year figure.</t>
        </is>
      </c>
    </row>
    <row r="32" ht="24" customHeight="1" s="53">
      <c r="B32" s="68" t="inlineStr">
        <is>
          <t>avg_[item]</t>
        </is>
      </c>
      <c r="C32" s="64" t="inlineStr">
        <is>
          <t>Mean of start-of-year and current-year (e.g., avg_equity).</t>
        </is>
      </c>
    </row>
    <row r="33" ht="24" customHeight="1" s="53">
      <c r="B33" s="68" t="inlineStr">
        <is>
          <t>RATIO_[name]</t>
        </is>
      </c>
      <c r="C33" s="64" t="inlineStr">
        <is>
          <t>Key ratios reused in Du Pont decomposition (asset_turnover, operating_profit_margin, leverage, debt_burden).</t>
        </is>
      </c>
    </row>
    <row r="36" ht="19.5" customHeight="1" s="53">
      <c r="B36" s="59" t="inlineStr">
        <is>
          <t>Companion Specification</t>
        </is>
      </c>
    </row>
    <row r="37" ht="15" customHeight="1" s="53">
      <c r="B37" s="69" t="inlineStr">
        <is>
          <t>See:</t>
        </is>
      </c>
      <c r="C37" s="70" t="inlineStr">
        <is>
          <t>docs/templates/spec-template.md (repo-level)</t>
        </is>
      </c>
    </row>
    <row r="38" ht="15" customHeight="1" s="53">
      <c r="B38" s="69" t="inlineStr">
        <is>
          <t>Course:</t>
        </is>
      </c>
      <c r="C38" s="70" t="inlineStr">
        <is>
          <t>courses/BUS-629-VEMBA-International-Corporate-Finance/</t>
        </is>
      </c>
    </row>
    <row r="41" ht="20.25" customHeight="1" s="53">
      <c r="B41" s="71" t="inlineStr">
        <is>
          <t>Prepared per UH Mānoa brand standards (docs/_branding/design.json). Primary green #024731 · Open Sans typography · ADA-compliant contrast.</t>
        </is>
      </c>
    </row>
  </sheetData>
  <mergeCells count="8">
    <mergeCell ref="B6:C6"/>
    <mergeCell ref="B24:C24"/>
    <mergeCell ref="B5:C5"/>
    <mergeCell ref="B36:C36"/>
    <mergeCell ref="B9:C9"/>
    <mergeCell ref="B17:C17"/>
    <mergeCell ref="B41:C41"/>
    <mergeCell ref="B4:C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C26" activeCellId="0" sqref="C26"/>
    </sheetView>
  </sheetViews>
  <sheetFormatPr baseColWidth="8" defaultColWidth="8.6796875" defaultRowHeight="14.25" zeroHeight="0" outlineLevelRow="0"/>
  <cols>
    <col width="2" customWidth="1" style="52" min="1" max="1"/>
    <col width="38" customWidth="1" style="52" min="2" max="2"/>
    <col width="16" customWidth="1" style="52" min="3" max="4"/>
    <col width="2" customWidth="1" style="52" min="5" max="5"/>
    <col width="38" customWidth="1" style="52" min="6" max="6"/>
    <col width="16" customWidth="1" style="52" min="7" max="8"/>
  </cols>
  <sheetData>
    <row r="2" ht="22.5" customHeight="1" s="53">
      <c r="B2" s="72" t="inlineStr">
        <is>
          <t>Balance Sheet</t>
        </is>
      </c>
    </row>
    <row r="3" ht="14.25" customHeight="1" s="53">
      <c r="B3" s="73" t="inlineStr">
        <is>
          <t>All figures in $millions unless otherwise noted</t>
        </is>
      </c>
    </row>
    <row r="5" ht="16.5" customHeight="1" s="53">
      <c r="B5" s="74" t="inlineStr">
        <is>
          <t>ASSETS</t>
        </is>
      </c>
      <c r="C5" s="75" t="inlineStr">
        <is>
          <t>FY Current</t>
        </is>
      </c>
      <c r="D5" s="75" t="inlineStr">
        <is>
          <t>FY Prior</t>
        </is>
      </c>
      <c r="F5" s="74" t="inlineStr">
        <is>
          <t>LIABILITIES &amp; EQUITY</t>
        </is>
      </c>
      <c r="G5" s="75" t="inlineStr">
        <is>
          <t>FY Current</t>
        </is>
      </c>
      <c r="H5" s="75" t="inlineStr">
        <is>
          <t>FY Prior</t>
        </is>
      </c>
    </row>
    <row r="6" ht="15" customHeight="1" s="53">
      <c r="B6" s="76" t="inlineStr">
        <is>
          <t>Current Assets</t>
        </is>
      </c>
      <c r="F6" s="76" t="inlineStr">
        <is>
          <t>Current Liabilities</t>
        </is>
      </c>
    </row>
    <row r="7" ht="15" customHeight="1" s="53">
      <c r="B7" s="69" t="inlineStr">
        <is>
          <t>Cash and marketable securities</t>
        </is>
      </c>
      <c r="C7" s="77" t="n">
        <v>15806</v>
      </c>
      <c r="D7" s="77" t="n">
        <v>14571</v>
      </c>
      <c r="F7" s="69" t="inlineStr">
        <is>
          <t>Debt due for repayment</t>
        </is>
      </c>
      <c r="G7" s="77" t="n">
        <v>3373</v>
      </c>
      <c r="H7" s="77" t="n">
        <v>2147</v>
      </c>
    </row>
    <row r="8" ht="15" customHeight="1" s="53">
      <c r="B8" s="69" t="inlineStr">
        <is>
          <t>Receivables</t>
        </is>
      </c>
      <c r="C8" s="77" t="n">
        <v>3038</v>
      </c>
      <c r="D8" s="77" t="n">
        <v>3569</v>
      </c>
      <c r="F8" s="69" t="inlineStr">
        <is>
          <t>Accounts payable</t>
        </is>
      </c>
      <c r="G8" s="77" t="n">
        <v>5649</v>
      </c>
      <c r="H8" s="77" t="n">
        <v>5468</v>
      </c>
    </row>
    <row r="9" ht="15" customHeight="1" s="53">
      <c r="B9" s="69" t="inlineStr">
        <is>
          <t>Inventories</t>
        </is>
      </c>
      <c r="C9" s="77" t="n">
        <v>4425</v>
      </c>
      <c r="D9" s="77" t="n">
        <v>4728</v>
      </c>
      <c r="F9" s="69" t="inlineStr">
        <is>
          <t>Other current liabilities</t>
        </is>
      </c>
      <c r="G9" s="77" t="n">
        <v>12259</v>
      </c>
      <c r="H9" s="77" t="n">
        <v>17634</v>
      </c>
    </row>
    <row r="10" ht="15" customHeight="1" s="53">
      <c r="B10" s="69" t="inlineStr">
        <is>
          <t>Other current assets</t>
        </is>
      </c>
      <c r="C10" s="77" t="n">
        <v>7775</v>
      </c>
      <c r="D10" s="77" t="n">
        <v>3129</v>
      </c>
      <c r="F10" s="78" t="inlineStr">
        <is>
          <t xml:space="preserve">   Total current liabilities</t>
        </is>
      </c>
      <c r="G10" s="79">
        <f>SUM(G7:G9)</f>
        <v/>
      </c>
      <c r="H10" s="79">
        <f>SUM(H7:H9)</f>
        <v/>
      </c>
    </row>
    <row r="11" ht="15" customHeight="1" s="53">
      <c r="B11" s="78" t="inlineStr">
        <is>
          <t xml:space="preserve">   Total current assets</t>
        </is>
      </c>
      <c r="C11" s="79">
        <f>SUM(C7:C10)</f>
        <v/>
      </c>
      <c r="D11" s="79">
        <f>SUM(D7:D10)</f>
        <v/>
      </c>
    </row>
    <row r="12" ht="15" customHeight="1" s="53">
      <c r="F12" s="69" t="inlineStr">
        <is>
          <t>Long-term debt</t>
        </is>
      </c>
      <c r="G12" s="77" t="n">
        <v>42119</v>
      </c>
      <c r="H12" s="77" t="n">
        <v>42375</v>
      </c>
    </row>
    <row r="13" ht="15" customHeight="1" s="53">
      <c r="B13" s="76" t="inlineStr">
        <is>
          <t>Fixed Assets</t>
        </is>
      </c>
      <c r="F13" s="69" t="inlineStr">
        <is>
          <t>Other long-term liabilities</t>
        </is>
      </c>
      <c r="G13" s="77" t="n">
        <v>9247</v>
      </c>
      <c r="H13" s="77" t="n">
        <v>8069</v>
      </c>
    </row>
    <row r="14" ht="15" customHeight="1" s="53">
      <c r="B14" s="69" t="inlineStr">
        <is>
          <t>Property, plant, and equipment</t>
        </is>
      </c>
      <c r="C14" s="77" t="n">
        <v>20429</v>
      </c>
      <c r="D14" s="77" t="n">
        <v>21055</v>
      </c>
    </row>
    <row r="15" ht="15" customHeight="1" s="53">
      <c r="B15" s="69" t="inlineStr">
        <is>
          <t>Less accumulated depreciation</t>
        </is>
      </c>
      <c r="C15" s="77" t="n">
        <v>9119</v>
      </c>
      <c r="D15" s="77" t="n">
        <v>9570</v>
      </c>
      <c r="F15" s="78" t="inlineStr">
        <is>
          <t>Total Liabilities</t>
        </is>
      </c>
      <c r="G15" s="79">
        <f>G10+G12+G13</f>
        <v/>
      </c>
      <c r="H15" s="79">
        <f>H10+H12+H13</f>
        <v/>
      </c>
    </row>
    <row r="16" ht="15" customHeight="1" s="53">
      <c r="B16" s="78" t="inlineStr">
        <is>
          <t xml:space="preserve">   Net tangible fixed assets</t>
        </is>
      </c>
      <c r="C16" s="79">
        <f>C14-C15</f>
        <v/>
      </c>
      <c r="D16" s="79">
        <f>D14-D15</f>
        <v/>
      </c>
    </row>
    <row r="17" ht="15" customHeight="1" s="53">
      <c r="F17" s="76" t="inlineStr">
        <is>
          <t>SHAREHOLDERS' EQUITY</t>
        </is>
      </c>
    </row>
    <row r="18" ht="15" customHeight="1" s="53">
      <c r="B18" s="76" t="inlineStr">
        <is>
          <t>Other Assets</t>
        </is>
      </c>
      <c r="F18" s="69" t="inlineStr">
        <is>
          <t>Common stock and paid-in capital</t>
        </is>
      </c>
      <c r="G18" s="77" t="n">
        <v>22341</v>
      </c>
      <c r="H18" s="77" t="n">
        <v>21561</v>
      </c>
    </row>
    <row r="19" ht="15" customHeight="1" s="53">
      <c r="B19" s="69" t="inlineStr">
        <is>
          <t>Intangible assets (goodwill)</t>
        </is>
      </c>
      <c r="C19" s="77" t="n">
        <v>28022</v>
      </c>
      <c r="D19" s="77" t="n">
        <v>31440</v>
      </c>
      <c r="F19" s="69" t="inlineStr">
        <is>
          <t>Retained earnings</t>
        </is>
      </c>
      <c r="G19" s="77" t="n">
        <v>9828</v>
      </c>
      <c r="H19" s="77" t="n">
        <v>3295</v>
      </c>
    </row>
    <row r="20" ht="15" customHeight="1" s="53">
      <c r="B20" s="69" t="inlineStr">
        <is>
          <t>Other assets</t>
        </is>
      </c>
      <c r="C20" s="77" t="n">
        <v>34440</v>
      </c>
      <c r="D20" s="77" t="n">
        <v>31627</v>
      </c>
      <c r="F20" s="78" t="inlineStr">
        <is>
          <t xml:space="preserve">   Total shareholders' equity</t>
        </is>
      </c>
      <c r="G20" s="79">
        <f>G18+G19</f>
        <v/>
      </c>
      <c r="H20" s="79">
        <f>H18+H19</f>
        <v/>
      </c>
    </row>
    <row r="22" ht="16.5" customHeight="1" s="53"/>
    <row r="23" ht="16.5" customHeight="1" s="53">
      <c r="B23" s="62" t="inlineStr">
        <is>
          <t>Total Assets</t>
        </is>
      </c>
      <c r="C23" s="80">
        <f>C11+C16+C19+C20</f>
        <v/>
      </c>
      <c r="D23" s="80">
        <f>D11+D16+D19+D20</f>
        <v/>
      </c>
      <c r="F23" s="62" t="inlineStr">
        <is>
          <t>Total Liabilities + Equity</t>
        </is>
      </c>
      <c r="G23" s="80">
        <f>G15+G20</f>
        <v/>
      </c>
      <c r="H23" s="80">
        <f>H15+H20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4.25" zeroHeight="0" outlineLevelRow="0"/>
  <cols>
    <col width="2" customWidth="1" style="52" min="1" max="1"/>
    <col width="45" customWidth="1" style="52" min="2" max="2"/>
    <col width="16" customWidth="1" style="52" min="3" max="3"/>
    <col width="14" customWidth="1" style="52" min="4" max="4"/>
  </cols>
  <sheetData>
    <row r="2" ht="22.5" customHeight="1" s="53">
      <c r="B2" s="72" t="inlineStr">
        <is>
          <t>Income Statement</t>
        </is>
      </c>
    </row>
    <row r="3" ht="14.25" customHeight="1" s="53">
      <c r="B3" s="73" t="inlineStr">
        <is>
          <t>Current fiscal year · figures in $millions</t>
        </is>
      </c>
    </row>
    <row r="5" ht="16.5" customHeight="1" s="53">
      <c r="B5" s="81" t="inlineStr">
        <is>
          <t>Line Item</t>
        </is>
      </c>
      <c r="C5" s="81" t="inlineStr">
        <is>
          <t>Amount</t>
        </is>
      </c>
      <c r="D5" s="81" t="inlineStr">
        <is>
          <t>% of Sales</t>
        </is>
      </c>
    </row>
    <row r="6" ht="15" customHeight="1" s="53">
      <c r="B6" s="69" t="inlineStr">
        <is>
          <t>Net sales</t>
        </is>
      </c>
      <c r="C6" s="77" t="n">
        <v>47941</v>
      </c>
      <c r="D6" s="82" t="n">
        <v>1</v>
      </c>
    </row>
    <row r="7" ht="15" customHeight="1" s="53">
      <c r="B7" s="69" t="inlineStr">
        <is>
          <t>less Cost of goods sold</t>
        </is>
      </c>
      <c r="C7" s="77" t="n">
        <v>18397</v>
      </c>
      <c r="D7" s="83">
        <f>IFERROR(C7/$C$6,"")</f>
        <v/>
      </c>
    </row>
    <row r="8" ht="15" customHeight="1" s="53">
      <c r="B8" s="69" t="inlineStr">
        <is>
          <t>less Selling, general &amp; administrative expenses</t>
        </is>
      </c>
      <c r="C8" s="77" t="n">
        <v>14521</v>
      </c>
      <c r="D8" s="83">
        <f>IFERROR(C8/$C$6,"")</f>
        <v/>
      </c>
    </row>
    <row r="9" ht="15" customHeight="1" s="53">
      <c r="B9" s="69" t="inlineStr">
        <is>
          <t>less Depreciation</t>
        </is>
      </c>
      <c r="C9" s="77" t="n">
        <v>1050</v>
      </c>
      <c r="D9" s="83">
        <f>IFERROR(C9/$C$6,"")</f>
        <v/>
      </c>
    </row>
    <row r="10" ht="15" customHeight="1" s="53">
      <c r="B10" s="78" t="inlineStr">
        <is>
          <t xml:space="preserve">   Earnings before interest and taxes (EBIT)</t>
        </is>
      </c>
      <c r="C10" s="79">
        <f>C6-C7-C8-C9</f>
        <v/>
      </c>
      <c r="D10" s="83">
        <f>IFERROR(C10/$C$6,"")</f>
        <v/>
      </c>
    </row>
    <row r="11" ht="15" customHeight="1" s="53">
      <c r="B11" s="69" t="inlineStr">
        <is>
          <t>plus Other income</t>
        </is>
      </c>
      <c r="C11" s="77" t="n">
        <v>3679</v>
      </c>
      <c r="D11" s="83">
        <f>IFERROR(C11/$C$6,"")</f>
        <v/>
      </c>
    </row>
    <row r="12" ht="15" customHeight="1" s="53">
      <c r="B12" s="69" t="inlineStr">
        <is>
          <t>less Interest expense</t>
        </is>
      </c>
      <c r="C12" s="77" t="n">
        <v>1654</v>
      </c>
      <c r="D12" s="83">
        <f>IFERROR(C12/$C$6,"")</f>
        <v/>
      </c>
    </row>
    <row r="13" ht="15" customHeight="1" s="53">
      <c r="B13" s="78" t="inlineStr">
        <is>
          <t xml:space="preserve">   Taxable income</t>
        </is>
      </c>
      <c r="C13" s="79">
        <f>C10+C11-C12</f>
        <v/>
      </c>
      <c r="D13" s="83">
        <f>IFERROR(C13/$C$6,"")</f>
        <v/>
      </c>
    </row>
    <row r="14" ht="15" customHeight="1" s="53">
      <c r="B14" s="69" t="inlineStr">
        <is>
          <t>less Taxes</t>
        </is>
      </c>
      <c r="C14" s="77" t="n">
        <v>2861</v>
      </c>
      <c r="D14" s="83">
        <f>IFERROR(C14/$C$6,"")</f>
        <v/>
      </c>
    </row>
    <row r="15" ht="16.5" customHeight="1" s="53">
      <c r="B15" s="62" t="inlineStr">
        <is>
          <t xml:space="preserve">   Net income</t>
        </is>
      </c>
      <c r="C15" s="80">
        <f>C13-C14</f>
        <v/>
      </c>
      <c r="D15" s="84">
        <f>IFERROR(C15/$C$6,"")</f>
        <v/>
      </c>
    </row>
    <row r="17" ht="15" customHeight="1" s="53">
      <c r="B17" s="76" t="inlineStr">
        <is>
          <t>Allocation of net income</t>
        </is>
      </c>
    </row>
    <row r="18" ht="15" customHeight="1" s="53">
      <c r="B18" s="69" t="inlineStr">
        <is>
          <t xml:space="preserve">   Dividends</t>
        </is>
      </c>
      <c r="C18" s="77" t="n">
        <v>8779</v>
      </c>
      <c r="D18" s="83">
        <f>IFERROR(C18/$C$6,"")</f>
        <v/>
      </c>
    </row>
    <row r="19" ht="15" customHeight="1" s="53">
      <c r="B19" s="78" t="inlineStr">
        <is>
          <t xml:space="preserve">   Addition to retained earnings</t>
        </is>
      </c>
      <c r="C19" s="79">
        <f>C15-C18</f>
        <v/>
      </c>
      <c r="D19" s="83">
        <f>IFERROR(C19/$C$6,"")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D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23" activePane="bottomRight" state="frozen"/>
      <selection pane="topLeft" activeCell="A1" activeCellId="0" sqref="A1"/>
      <selection pane="topRight" activeCell="B1" activeCellId="0" sqref="B1"/>
      <selection pane="bottomLeft" activeCell="A23" activeCellId="0" sqref="A23"/>
      <selection pane="bottomRight" activeCell="A1" activeCellId="0" sqref="A1"/>
    </sheetView>
  </sheetViews>
  <sheetFormatPr baseColWidth="8" defaultColWidth="8.6796875" defaultRowHeight="14.25" zeroHeight="0" outlineLevelRow="0"/>
  <cols>
    <col width="2" customWidth="1" style="52" min="1" max="1"/>
    <col width="50" customWidth="1" style="52" min="2" max="2"/>
    <col width="16" customWidth="1" style="52" min="3" max="3"/>
    <col width="24" customWidth="1" style="52" min="4" max="4"/>
  </cols>
  <sheetData>
    <row r="2" ht="22.5" customHeight="1" s="53">
      <c r="B2" s="72" t="inlineStr">
        <is>
          <t>Cash Flow Statement</t>
        </is>
      </c>
    </row>
    <row r="3" ht="14.25" customHeight="1" s="53">
      <c r="B3" s="73" t="inlineStr">
        <is>
          <t>Current fiscal year · figures in $millions</t>
        </is>
      </c>
    </row>
    <row r="5" ht="16.5" customHeight="1" s="53">
      <c r="B5" s="81" t="inlineStr">
        <is>
          <t>Line Item</t>
        </is>
      </c>
      <c r="C5" s="81" t="inlineStr">
        <is>
          <t>Amount</t>
        </is>
      </c>
      <c r="D5" s="81" t="inlineStr">
        <is>
          <t>Source / Notes</t>
        </is>
      </c>
    </row>
    <row r="6" ht="15" customHeight="1" s="53">
      <c r="B6" s="76" t="inlineStr">
        <is>
          <t>Operations:</t>
        </is>
      </c>
      <c r="D6" s="73" t="n"/>
    </row>
    <row r="7" ht="15" customHeight="1" s="53">
      <c r="B7" s="69" t="inlineStr">
        <is>
          <t>Net income</t>
        </is>
      </c>
      <c r="C7" s="85">
        <f>INC_net</f>
        <v/>
      </c>
      <c r="D7" s="73" t="inlineStr">
        <is>
          <t>[Income Statement]</t>
        </is>
      </c>
    </row>
    <row r="8" ht="15" customHeight="1" s="53">
      <c r="B8" s="69" t="inlineStr">
        <is>
          <t>plus Depreciation</t>
        </is>
      </c>
      <c r="C8" s="85">
        <f>INC_depreciation</f>
        <v/>
      </c>
      <c r="D8" s="73" t="inlineStr">
        <is>
          <t>[Income Statement]</t>
        </is>
      </c>
    </row>
    <row r="9" ht="15" customHeight="1" s="53">
      <c r="B9" s="86" t="inlineStr">
        <is>
          <t xml:space="preserve">   plus Changes in working capital items</t>
        </is>
      </c>
      <c r="D9" s="73" t="n"/>
    </row>
    <row r="10" ht="15" customHeight="1" s="53">
      <c r="B10" s="69" t="inlineStr">
        <is>
          <t xml:space="preserve">      Decrease (increase) in accounts receivable</t>
        </is>
      </c>
      <c r="C10" s="77" t="n">
        <v>531</v>
      </c>
      <c r="D10" s="73" t="inlineStr">
        <is>
          <t>[Balance Sheet]</t>
        </is>
      </c>
    </row>
    <row r="11" ht="15" customHeight="1" s="53">
      <c r="B11" s="69" t="inlineStr">
        <is>
          <t xml:space="preserve">      Decrease (increase) in inventories</t>
        </is>
      </c>
      <c r="C11" s="77" t="n">
        <v>303</v>
      </c>
      <c r="D11" s="73" t="inlineStr">
        <is>
          <t>[Balance Sheet]</t>
        </is>
      </c>
    </row>
    <row r="12" ht="15" customHeight="1" s="53">
      <c r="B12" s="69" t="inlineStr">
        <is>
          <t xml:space="preserve">      Decrease (increase) in other current assets</t>
        </is>
      </c>
      <c r="C12" s="77" t="n">
        <v>-4646</v>
      </c>
      <c r="D12" s="73" t="inlineStr">
        <is>
          <t>[Balance Sheet]</t>
        </is>
      </c>
    </row>
    <row r="13" ht="15" customHeight="1" s="53">
      <c r="B13" s="69" t="inlineStr">
        <is>
          <t xml:space="preserve">      Increase (decrease) in accounts payable</t>
        </is>
      </c>
      <c r="C13" s="77" t="n">
        <v>181</v>
      </c>
      <c r="D13" s="73" t="inlineStr">
        <is>
          <t>[Balance Sheet]</t>
        </is>
      </c>
    </row>
    <row r="14" ht="15" customHeight="1" s="53">
      <c r="B14" s="69" t="inlineStr">
        <is>
          <t xml:space="preserve">      Increase (decrease) in other current liabilities</t>
        </is>
      </c>
      <c r="C14" s="77" t="n">
        <v>-5375</v>
      </c>
      <c r="D14" s="73" t="inlineStr">
        <is>
          <t>[Balance Sheet]</t>
        </is>
      </c>
    </row>
    <row r="15" ht="15" customHeight="1" s="53">
      <c r="B15" s="78" t="inlineStr">
        <is>
          <t xml:space="preserve">         Total change in working capital</t>
        </is>
      </c>
      <c r="C15" s="79">
        <f>SUM(C10:C14)</f>
        <v/>
      </c>
      <c r="D15" s="73" t="n"/>
    </row>
    <row r="16" ht="16.5" customHeight="1" s="53">
      <c r="B16" s="62" t="inlineStr">
        <is>
          <t xml:space="preserve">   Cash provided by operations</t>
        </is>
      </c>
      <c r="C16" s="80">
        <f>C7+C8+C15</f>
        <v/>
      </c>
      <c r="D16" s="73" t="n"/>
    </row>
    <row r="17" ht="14.25" customHeight="1" s="53">
      <c r="D17" s="73" t="n"/>
    </row>
    <row r="18" ht="15" customHeight="1" s="53">
      <c r="B18" s="76" t="inlineStr">
        <is>
          <t>Investments:</t>
        </is>
      </c>
      <c r="D18" s="73" t="n"/>
    </row>
    <row r="19" ht="15" customHeight="1" s="53">
      <c r="B19" s="69" t="inlineStr">
        <is>
          <t>Capital expenditures</t>
        </is>
      </c>
      <c r="C19" s="77" t="n">
        <v>-2112</v>
      </c>
      <c r="D19" s="73" t="n"/>
    </row>
    <row r="20" ht="15" customHeight="1" s="53">
      <c r="B20" s="69" t="inlineStr">
        <is>
          <t>plus Sales (acquisitions) of long-term assets</t>
        </is>
      </c>
      <c r="C20" s="77" t="n">
        <v>-448</v>
      </c>
      <c r="D20" s="73" t="n"/>
    </row>
    <row r="21" ht="15" customHeight="1" s="53">
      <c r="B21" s="69" t="inlineStr">
        <is>
          <t>plus Other investing activities</t>
        </is>
      </c>
      <c r="C21" s="77" t="n">
        <v>2493</v>
      </c>
      <c r="D21" s="73" t="n"/>
    </row>
    <row r="22" ht="16.5" customHeight="1" s="53">
      <c r="B22" s="62" t="inlineStr">
        <is>
          <t xml:space="preserve">   Cash provided by (used for) investments</t>
        </is>
      </c>
      <c r="C22" s="80">
        <f>SUM(C19:C21)</f>
        <v/>
      </c>
      <c r="D22" s="73" t="n"/>
    </row>
    <row r="23" ht="14.25" customHeight="1" s="53">
      <c r="D23" s="73" t="n"/>
    </row>
    <row r="24" ht="15" customHeight="1" s="53">
      <c r="B24" s="76" t="inlineStr">
        <is>
          <t>Financing activities:</t>
        </is>
      </c>
      <c r="D24" s="73" t="n"/>
    </row>
    <row r="25" ht="15" customHeight="1" s="53">
      <c r="B25" s="69" t="inlineStr">
        <is>
          <t>Increase (decrease) in short-term debt</t>
        </is>
      </c>
      <c r="C25" s="77" t="n">
        <v>1226</v>
      </c>
      <c r="D25" s="73" t="n"/>
    </row>
    <row r="26" ht="15" customHeight="1" s="53">
      <c r="B26" s="69" t="inlineStr">
        <is>
          <t>plus Increase (decrease) in long-term debt</t>
        </is>
      </c>
      <c r="C26" s="77" t="n">
        <v>-256</v>
      </c>
      <c r="D26" s="73" t="n"/>
    </row>
    <row r="27" ht="15" customHeight="1" s="53">
      <c r="B27" s="69" t="inlineStr">
        <is>
          <t>plus Dividends paid</t>
        </is>
      </c>
      <c r="C27" s="77" t="n">
        <v>-8779</v>
      </c>
      <c r="D27" s="73" t="n"/>
    </row>
    <row r="28" ht="15" customHeight="1" s="53">
      <c r="B28" s="69" t="inlineStr">
        <is>
          <t>plus Issues (repurchases) of stock</t>
        </is>
      </c>
      <c r="C28" s="77" t="n">
        <v>-433</v>
      </c>
      <c r="D28" s="73" t="n"/>
    </row>
    <row r="29" ht="15" customHeight="1" s="53">
      <c r="B29" s="69" t="inlineStr">
        <is>
          <t>plus Other</t>
        </is>
      </c>
      <c r="C29" s="77" t="n">
        <v>102</v>
      </c>
      <c r="D29" s="73" t="n"/>
    </row>
    <row r="30" ht="16.5" customHeight="1" s="53">
      <c r="B30" s="62" t="inlineStr">
        <is>
          <t xml:space="preserve">   Cash provided by (used for) financing</t>
        </is>
      </c>
      <c r="C30" s="80">
        <f>SUM(C25:C29)</f>
        <v/>
      </c>
      <c r="D30" s="73" t="n"/>
    </row>
    <row r="31" ht="14.25" customHeight="1" s="53">
      <c r="D31" s="73" t="n"/>
    </row>
    <row r="32" ht="16.5" customHeight="1" s="53">
      <c r="B32" s="62" t="inlineStr">
        <is>
          <t>Net increase (decrease) in cash</t>
        </is>
      </c>
      <c r="C32" s="80">
        <f>C16+C22+C30</f>
        <v/>
      </c>
      <c r="D32" s="7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35" activePane="bottomRight" state="frozen"/>
      <selection pane="topLeft" activeCell="A1" activeCellId="0" sqref="A1"/>
      <selection pane="topRight" activeCell="B1" activeCellId="0" sqref="B1"/>
      <selection pane="bottomLeft" activeCell="A35" activeCellId="0" sqref="A35"/>
      <selection pane="bottomRight" activeCell="F75" activeCellId="0" sqref="F75"/>
    </sheetView>
  </sheetViews>
  <sheetFormatPr baseColWidth="8" defaultColWidth="8.6796875" defaultRowHeight="14.25" zeroHeight="0" outlineLevelRow="0"/>
  <cols>
    <col width="2" customWidth="1" style="52" min="1" max="1"/>
    <col width="44" customWidth="1" style="52" min="2" max="2"/>
    <col width="16" customWidth="1" style="52" min="3" max="3"/>
    <col width="62" customWidth="1" style="52" min="4" max="4"/>
    <col width="36" customWidth="1" style="52" min="5" max="5"/>
    <col width="28" customWidth="1" style="52" min="6" max="6"/>
  </cols>
  <sheetData>
    <row r="2" ht="22.5" customHeight="1" s="53">
      <c r="B2" s="72" t="inlineStr">
        <is>
          <t>Ratios &amp; Derived Inputs</t>
        </is>
      </c>
    </row>
    <row r="3" ht="14.25" customHeight="1" s="53">
      <c r="B3" s="73" t="inlineStr">
        <is>
          <t>Enter the four assumptions at top; all ratios populate automatically.</t>
        </is>
      </c>
    </row>
    <row r="5" ht="16.5" customHeight="1" s="53">
      <c r="B5" s="81" t="inlineStr">
        <is>
          <t>Metric</t>
        </is>
      </c>
      <c r="C5" s="81" t="inlineStr">
        <is>
          <t>Input</t>
        </is>
      </c>
      <c r="D5" s="81" t="inlineStr">
        <is>
          <t>Named Range Formula</t>
        </is>
      </c>
      <c r="E5" s="81" t="inlineStr">
        <is>
          <t>Named Range</t>
        </is>
      </c>
    </row>
    <row r="6" ht="15" customHeight="1" s="53">
      <c r="B6" s="69" t="inlineStr">
        <is>
          <t>Current fiscal year</t>
        </is>
      </c>
      <c r="C6" s="87" t="n">
        <v>2025</v>
      </c>
      <c r="D6" s="88" t="n"/>
      <c r="E6" s="88" t="inlineStr">
        <is>
          <t>yearCurrent</t>
        </is>
      </c>
    </row>
    <row r="7" ht="15" customHeight="1" s="53">
      <c r="B7" s="69" t="inlineStr">
        <is>
          <t>Start of year (prior)</t>
        </is>
      </c>
      <c r="C7" s="89">
        <f>yearCurrent-1</f>
        <v/>
      </c>
      <c r="D7" s="88" t="inlineStr">
        <is>
          <t>yearCurrent - 1</t>
        </is>
      </c>
      <c r="E7" s="88" t="inlineStr">
        <is>
          <t>yearStart</t>
        </is>
      </c>
    </row>
    <row r="8" ht="15" customHeight="1" s="53">
      <c r="B8" s="69" t="inlineStr">
        <is>
          <t>Share price</t>
        </is>
      </c>
      <c r="C8" s="90" t="n">
        <v>69.43000000000001</v>
      </c>
      <c r="D8" s="88" t="n"/>
      <c r="E8" s="88" t="inlineStr">
        <is>
          <t>share_price</t>
        </is>
      </c>
    </row>
    <row r="9" ht="15" customHeight="1" s="53">
      <c r="B9" s="69" t="inlineStr">
        <is>
          <t>Shares outstanding (M)</t>
        </is>
      </c>
      <c r="C9" s="91" t="n">
        <v>4302</v>
      </c>
      <c r="D9" s="88" t="n"/>
      <c r="E9" s="88" t="inlineStr">
        <is>
          <t>shares_outstanding</t>
        </is>
      </c>
    </row>
    <row r="10" ht="15" customHeight="1" s="53">
      <c r="B10" s="69" t="inlineStr">
        <is>
          <t>Cost of capital</t>
        </is>
      </c>
      <c r="C10" s="92" t="n">
        <v>0.09</v>
      </c>
      <c r="D10" s="88" t="n"/>
      <c r="E10" s="88" t="inlineStr">
        <is>
          <t>cost_capital</t>
        </is>
      </c>
    </row>
    <row r="11" ht="15" customHeight="1" s="53">
      <c r="B11" s="69" t="inlineStr">
        <is>
          <t>Tax rate</t>
        </is>
      </c>
      <c r="C11" s="92" t="n">
        <v>0.1788</v>
      </c>
      <c r="D11" s="88" t="n"/>
      <c r="E11" s="88" t="inlineStr">
        <is>
          <t>tax_rate</t>
        </is>
      </c>
    </row>
    <row r="12" ht="15" customHeight="1" s="53">
      <c r="B12" s="69" t="inlineStr">
        <is>
          <t>Market capitalization</t>
        </is>
      </c>
      <c r="C12" s="93">
        <f>share_price*shares_outstanding</f>
        <v/>
      </c>
      <c r="D12" s="88" t="inlineStr">
        <is>
          <t>share_price × shares_outstanding</t>
        </is>
      </c>
      <c r="E12" s="88" t="inlineStr">
        <is>
          <t>market_capitalization</t>
        </is>
      </c>
    </row>
    <row r="14" ht="16.5" customHeight="1" s="53">
      <c r="B14" s="94" t="inlineStr">
        <is>
          <t>── Start of Year (Prior-Year Balance Sheet) ──</t>
        </is>
      </c>
    </row>
    <row r="15" ht="15" customHeight="1" s="53">
      <c r="B15" s="69" t="inlineStr">
        <is>
          <t>Equity (start of year)</t>
        </is>
      </c>
      <c r="C15" s="95">
        <f>BAL_equity_shareholders_prior</f>
        <v/>
      </c>
      <c r="D15" s="88" t="inlineStr">
        <is>
          <t>BAL_equity_shareholders_prior</t>
        </is>
      </c>
      <c r="E15" s="88" t="inlineStr">
        <is>
          <t>startYear_equity</t>
        </is>
      </c>
    </row>
    <row r="16" ht="15" customHeight="1" s="53">
      <c r="B16" s="69" t="inlineStr">
        <is>
          <t>Inventories (start of year)</t>
        </is>
      </c>
      <c r="C16" s="95">
        <f>BAL_inventories_prior</f>
        <v/>
      </c>
      <c r="D16" s="88" t="inlineStr">
        <is>
          <t>BAL_inventories_prior</t>
        </is>
      </c>
      <c r="E16" s="88" t="inlineStr">
        <is>
          <t>startYear_inventory</t>
        </is>
      </c>
    </row>
    <row r="17" ht="15" customHeight="1" s="53">
      <c r="B17" s="69" t="inlineStr">
        <is>
          <t>Receivables (start of year)</t>
        </is>
      </c>
      <c r="C17" s="95">
        <f>BAL_receivables_prior</f>
        <v/>
      </c>
      <c r="D17" s="88" t="inlineStr">
        <is>
          <t>BAL_receivables_prior</t>
        </is>
      </c>
      <c r="E17" s="88" t="inlineStr">
        <is>
          <t>startYear_receivables</t>
        </is>
      </c>
    </row>
    <row r="18" ht="15" customHeight="1" s="53">
      <c r="B18" s="69" t="inlineStr">
        <is>
          <t>Total assets (start of year)</t>
        </is>
      </c>
      <c r="C18" s="95">
        <f>BAL_assets_total_prior</f>
        <v/>
      </c>
      <c r="D18" s="88" t="inlineStr">
        <is>
          <t>BAL_assets_total_prior</t>
        </is>
      </c>
      <c r="E18" s="88" t="inlineStr">
        <is>
          <t>startYear_total_assets</t>
        </is>
      </c>
    </row>
    <row r="19" ht="15" customHeight="1" s="53">
      <c r="B19" s="69" t="inlineStr">
        <is>
          <t>Total capitalization (start of year)</t>
        </is>
      </c>
      <c r="C19" s="95">
        <f>BAL_debt_long_term_prior+BAL_equity_shareholders_prior</f>
        <v/>
      </c>
      <c r="D19" s="88" t="inlineStr">
        <is>
          <t>BAL_debt_long_term_prior + BAL_equity_shareholders_prior</t>
        </is>
      </c>
      <c r="E19" s="88" t="inlineStr">
        <is>
          <t>startYear_total_capitalization</t>
        </is>
      </c>
    </row>
    <row r="21" ht="16.5" customHeight="1" s="53">
      <c r="B21" s="94" t="inlineStr">
        <is>
          <t>── Current Year (Derived) ──</t>
        </is>
      </c>
    </row>
    <row r="22" ht="15" customHeight="1" s="53">
      <c r="B22" s="69" t="inlineStr">
        <is>
          <t>After-tax operating income</t>
        </is>
      </c>
      <c r="C22" s="95">
        <f>INC_net+(1-tax_rate)*INC_interest_expense</f>
        <v/>
      </c>
      <c r="D22" s="88" t="inlineStr">
        <is>
          <t>INC_net + (1 − tax_rate) × INC_interest_expense</t>
        </is>
      </c>
      <c r="E22" s="88" t="inlineStr">
        <is>
          <t>currentYear_after_tax_operating_income</t>
        </is>
      </c>
    </row>
    <row r="23" ht="15" customHeight="1" s="53">
      <c r="B23" s="69" t="inlineStr">
        <is>
          <t>Average daily sales</t>
        </is>
      </c>
      <c r="C23" s="96">
        <f>IFERROR(INC_sales/365,"")</f>
        <v/>
      </c>
      <c r="D23" s="88" t="inlineStr">
        <is>
          <t>INC_sales / 365</t>
        </is>
      </c>
      <c r="E23" s="88" t="inlineStr">
        <is>
          <t>currentYear_daily_sales_average</t>
        </is>
      </c>
    </row>
    <row r="24" ht="15" customHeight="1" s="53">
      <c r="B24" s="69" t="inlineStr">
        <is>
          <t>Book value of equity</t>
        </is>
      </c>
      <c r="C24" s="95">
        <f>BAL_equity_shareholders_curr</f>
        <v/>
      </c>
      <c r="D24" s="88" t="inlineStr">
        <is>
          <t>BAL_equity_shareholders_curr</t>
        </is>
      </c>
      <c r="E24" s="88" t="inlineStr">
        <is>
          <t>currentYear_equity</t>
        </is>
      </c>
    </row>
    <row r="25" ht="15" customHeight="1" s="53">
      <c r="B25" s="69" t="inlineStr">
        <is>
          <t>Cash + Marketable securities</t>
        </is>
      </c>
      <c r="C25" s="95">
        <f>BAL_cash_marketable_securities_curr</f>
        <v/>
      </c>
      <c r="D25" s="88" t="inlineStr">
        <is>
          <t>BAL_cash_marketable_securities_curr</t>
        </is>
      </c>
      <c r="E25" s="88" t="inlineStr">
        <is>
          <t>currentYear_cash_marketable_securities</t>
        </is>
      </c>
    </row>
    <row r="26" ht="15" customHeight="1" s="53">
      <c r="B26" s="69" t="inlineStr">
        <is>
          <t>Current assets</t>
        </is>
      </c>
      <c r="C26" s="95">
        <f>BAL_assets_current_curr</f>
        <v/>
      </c>
      <c r="D26" s="88" t="inlineStr">
        <is>
          <t>BAL_assets_current_curr</t>
        </is>
      </c>
      <c r="E26" s="88" t="inlineStr">
        <is>
          <t>currentYear_assets_current</t>
        </is>
      </c>
    </row>
    <row r="27" ht="15" customHeight="1" s="53">
      <c r="B27" s="69" t="inlineStr">
        <is>
          <t>Current liabilities</t>
        </is>
      </c>
      <c r="C27" s="95">
        <f>BAL_liabilities_current_curr</f>
        <v/>
      </c>
      <c r="D27" s="88" t="inlineStr">
        <is>
          <t>BAL_liabilities_current_curr</t>
        </is>
      </c>
      <c r="E27" s="88" t="inlineStr">
        <is>
          <t>currentYear_liabilities_current</t>
        </is>
      </c>
    </row>
    <row r="28" ht="15" customHeight="1" s="53">
      <c r="B28" s="69" t="inlineStr">
        <is>
          <t>Daily COGS</t>
        </is>
      </c>
      <c r="C28" s="96">
        <f>IFERROR(INC_cost_goods_sold/365,"")</f>
        <v/>
      </c>
      <c r="D28" s="88" t="inlineStr">
        <is>
          <t>INC_cost_goods_sold / 365</t>
        </is>
      </c>
      <c r="E28" s="88" t="inlineStr">
        <is>
          <t>currentYear_cost_goods_sold_daily</t>
        </is>
      </c>
    </row>
    <row r="29" ht="15" customHeight="1" s="53">
      <c r="B29" s="69" t="inlineStr">
        <is>
          <t>Long-term debt</t>
        </is>
      </c>
      <c r="C29" s="95">
        <f>BAL_debt_long_term_curr</f>
        <v/>
      </c>
      <c r="D29" s="88" t="inlineStr">
        <is>
          <t>BAL_debt_long_term_curr</t>
        </is>
      </c>
      <c r="E29" s="88" t="inlineStr">
        <is>
          <t>currentYear_debt_long_term</t>
        </is>
      </c>
    </row>
    <row r="30" ht="15" customHeight="1" s="53">
      <c r="B30" s="69" t="inlineStr">
        <is>
          <t>Net working capital</t>
        </is>
      </c>
      <c r="C30" s="95">
        <f>BAL_assets_current_curr-BAL_liabilities_current_curr</f>
        <v/>
      </c>
      <c r="D30" s="88" t="inlineStr">
        <is>
          <t>BAL_assets_current_curr − BAL_liabilities_current_curr</t>
        </is>
      </c>
      <c r="E30" s="88" t="inlineStr">
        <is>
          <t>currentYear_working_capital_net</t>
        </is>
      </c>
    </row>
    <row r="31" ht="15" customHeight="1" s="53">
      <c r="B31" s="69" t="inlineStr">
        <is>
          <t>Total assets</t>
        </is>
      </c>
      <c r="C31" s="95">
        <f>BAL_assets_total_curr</f>
        <v/>
      </c>
      <c r="D31" s="88" t="inlineStr">
        <is>
          <t>BAL_assets_total_curr</t>
        </is>
      </c>
      <c r="E31" s="88" t="inlineStr">
        <is>
          <t>currentYear_assets_total</t>
        </is>
      </c>
    </row>
    <row r="32" ht="15" customHeight="1" s="53">
      <c r="B32" s="69" t="inlineStr">
        <is>
          <t>Total capitalization</t>
        </is>
      </c>
      <c r="C32" s="95">
        <f>BAL_debt_long_term_curr+BAL_equity_shareholders_curr</f>
        <v/>
      </c>
      <c r="D32" s="88" t="inlineStr">
        <is>
          <t>currentYear_debt_long_term + currentYear_equity</t>
        </is>
      </c>
      <c r="E32" s="88" t="inlineStr">
        <is>
          <t>currentYear_total_capitalization</t>
        </is>
      </c>
    </row>
    <row r="33" ht="15" customHeight="1" s="53">
      <c r="B33" s="69" t="inlineStr">
        <is>
          <t>Total liabilities</t>
        </is>
      </c>
      <c r="C33" s="95">
        <f>BAL_liabilities_total_curr</f>
        <v/>
      </c>
      <c r="D33" s="88" t="inlineStr">
        <is>
          <t>BAL_liabilities_total_curr</t>
        </is>
      </c>
      <c r="E33" s="88" t="inlineStr">
        <is>
          <t>currentYear_liabilities_total</t>
        </is>
      </c>
    </row>
    <row r="35" ht="16.5" customHeight="1" s="53">
      <c r="B35" s="94" t="inlineStr">
        <is>
          <t>── Mixed Year (Averages) ──</t>
        </is>
      </c>
    </row>
    <row r="36" ht="15" customHeight="1" s="53">
      <c r="B36" s="69" t="inlineStr">
        <is>
          <t>Average equity</t>
        </is>
      </c>
      <c r="C36" s="96">
        <f>AVERAGE(startYear_equity,currentYear_equity)</f>
        <v/>
      </c>
      <c r="D36" s="88" t="inlineStr">
        <is>
          <t>AVERAGE(startYear_equity, currentYear_equity)</t>
        </is>
      </c>
      <c r="E36" s="88" t="inlineStr">
        <is>
          <t>avg_equity</t>
        </is>
      </c>
    </row>
    <row r="37" ht="15" customHeight="1" s="53">
      <c r="B37" s="69" t="inlineStr">
        <is>
          <t>Average total assets</t>
        </is>
      </c>
      <c r="C37" s="96">
        <f>AVERAGE(startYear_total_assets,currentYear_assets_total)</f>
        <v/>
      </c>
      <c r="D37" s="88" t="inlineStr">
        <is>
          <t>AVERAGE(startYear_total_assets, currentYear_assets_total)</t>
        </is>
      </c>
      <c r="E37" s="88" t="inlineStr">
        <is>
          <t>avg_total_assets</t>
        </is>
      </c>
    </row>
    <row r="38" ht="15" customHeight="1" s="53">
      <c r="B38" s="69" t="inlineStr">
        <is>
          <t>Average total capitalization</t>
        </is>
      </c>
      <c r="C38" s="96">
        <f>AVERAGE(startYear_total_capitalization,currentYear_total_capitalization)</f>
        <v/>
      </c>
      <c r="D38" s="88" t="inlineStr">
        <is>
          <t>AVERAGE(startYear_total_capitalization, currentYear_total_capitalization)</t>
        </is>
      </c>
      <c r="E38" s="88" t="inlineStr">
        <is>
          <t>avg_total_capitalization</t>
        </is>
      </c>
    </row>
    <row r="41" ht="16.5" customHeight="1" s="53">
      <c r="B41" s="81" t="inlineStr">
        <is>
          <t>Ratio</t>
        </is>
      </c>
      <c r="C41" s="81" t="inlineStr">
        <is>
          <t>Output</t>
        </is>
      </c>
      <c r="D41" s="81" t="inlineStr">
        <is>
          <t>Named Range Formula (reference)</t>
        </is>
      </c>
      <c r="E41" s="81" t="inlineStr">
        <is>
          <t>Named Range</t>
        </is>
      </c>
      <c r="F41" s="81" t="inlineStr">
        <is>
          <t>Check</t>
        </is>
      </c>
    </row>
    <row r="42" ht="16.5" customHeight="1" s="53">
      <c r="B42" s="62" t="inlineStr">
        <is>
          <t>Performance</t>
        </is>
      </c>
      <c r="C42" s="54" t="n"/>
      <c r="D42" s="54" t="n"/>
      <c r="E42" s="54" t="n"/>
    </row>
    <row r="43" ht="15" customHeight="1" s="53">
      <c r="B43" s="69" t="inlineStr">
        <is>
          <t>Market value added (MVA)</t>
        </is>
      </c>
      <c r="C43" s="97">
        <f>market_capitalization-currentYear_equity</f>
        <v/>
      </c>
      <c r="D43" s="88" t="inlineStr">
        <is>
          <t>market_capitalization − currentYear_equity</t>
        </is>
      </c>
      <c r="E43" s="88" t="n"/>
    </row>
    <row r="44" ht="15" customHeight="1" s="53">
      <c r="B44" s="69" t="inlineStr">
        <is>
          <t>Market-to-book ratio</t>
        </is>
      </c>
      <c r="C44" s="98">
        <f>market_capitalization/currentYear_equity</f>
        <v/>
      </c>
      <c r="D44" s="88" t="inlineStr">
        <is>
          <t>market_capitalization / currentYear_equity</t>
        </is>
      </c>
      <c r="E44" s="88" t="n"/>
    </row>
    <row r="45" ht="15" customHeight="1" s="53">
      <c r="B45" s="69" t="inlineStr">
        <is>
          <t>Economic value added (EVA)</t>
        </is>
      </c>
      <c r="C45" s="97">
        <f>currentYear_after_tax_operating_income-(cost_capital*startYear_total_capitalization)</f>
        <v/>
      </c>
      <c r="D45" s="88" t="inlineStr">
        <is>
          <t>currentYear_after_tax_operating_income − (cost_capital × startYear_total_capitalization)</t>
        </is>
      </c>
      <c r="E45" s="88" t="n"/>
    </row>
    <row r="46" ht="16.5" customHeight="1" s="53">
      <c r="B46" s="62" t="inlineStr">
        <is>
          <t>Profitability</t>
        </is>
      </c>
      <c r="C46" s="54" t="n"/>
      <c r="D46" s="54" t="n"/>
      <c r="E46" s="54" t="n"/>
    </row>
    <row r="47" ht="15" customHeight="1" s="53">
      <c r="B47" s="69" t="inlineStr">
        <is>
          <t>Return on assets (ROA)</t>
        </is>
      </c>
      <c r="C47" s="99">
        <f>currentYear_after_tax_operating_income/startYear_total_assets</f>
        <v/>
      </c>
      <c r="D47" s="88" t="inlineStr">
        <is>
          <t>currentYear_after_tax_operating_income / startYear_total_assets</t>
        </is>
      </c>
      <c r="E47" s="88" t="n"/>
    </row>
    <row r="48" ht="15" customHeight="1" s="53">
      <c r="B48" s="69" t="inlineStr">
        <is>
          <t>Return on capital (ROC)</t>
        </is>
      </c>
      <c r="C48" s="99">
        <f>currentYear_after_tax_operating_income/startYear_total_capitalization</f>
        <v/>
      </c>
      <c r="D48" s="88" t="inlineStr">
        <is>
          <t>currentYear_after_tax_operating_income / startYear_total_capitalization</t>
        </is>
      </c>
      <c r="E48" s="88" t="n"/>
    </row>
    <row r="49" ht="15" customHeight="1" s="53">
      <c r="B49" s="69" t="inlineStr">
        <is>
          <t>Return on equity (ROE)</t>
        </is>
      </c>
      <c r="C49" s="99">
        <f>INC_net/startYear_equity</f>
        <v/>
      </c>
      <c r="D49" s="88" t="inlineStr">
        <is>
          <t>INC_net / startYear_equity</t>
        </is>
      </c>
      <c r="E49" s="88" t="n"/>
    </row>
    <row r="50" ht="15" customHeight="1" s="53">
      <c r="B50" s="69" t="inlineStr">
        <is>
          <t>Return on assets (ROA) [avg]</t>
        </is>
      </c>
      <c r="C50" s="99">
        <f>currentYear_after_tax_operating_income/avg_total_assets</f>
        <v/>
      </c>
      <c r="D50" s="88" t="inlineStr">
        <is>
          <t>currentYear_after_tax_operating_income / avg_total_assets</t>
        </is>
      </c>
      <c r="E50" s="88" t="n"/>
    </row>
    <row r="51" ht="15" customHeight="1" s="53">
      <c r="B51" s="69" t="inlineStr">
        <is>
          <t>Return on capital (ROC) [avg]</t>
        </is>
      </c>
      <c r="C51" s="99">
        <f>currentYear_after_tax_operating_income/avg_total_capitalization</f>
        <v/>
      </c>
      <c r="D51" s="88" t="inlineStr">
        <is>
          <t>currentYear_after_tax_operating_income / avg_total_capitalization</t>
        </is>
      </c>
      <c r="E51" s="88" t="n"/>
    </row>
    <row r="52" ht="15" customHeight="1" s="53">
      <c r="B52" s="69" t="inlineStr">
        <is>
          <t>Return on equity (ROE) [avg]</t>
        </is>
      </c>
      <c r="C52" s="99">
        <f>INC_net/avg_equity</f>
        <v/>
      </c>
      <c r="D52" s="88" t="inlineStr">
        <is>
          <t>INC_net / avg_equity</t>
        </is>
      </c>
      <c r="E52" s="88" t="n"/>
    </row>
    <row r="53" ht="16.5" customHeight="1" s="53">
      <c r="B53" s="62" t="inlineStr">
        <is>
          <t>Efficiency</t>
        </is>
      </c>
      <c r="C53" s="54" t="n"/>
      <c r="D53" s="54" t="n"/>
      <c r="E53" s="54" t="n"/>
    </row>
    <row r="54" ht="15" customHeight="1" s="53">
      <c r="B54" s="69" t="inlineStr">
        <is>
          <t>Asset turnover</t>
        </is>
      </c>
      <c r="C54" s="98">
        <f>INC_sales/startYear_total_assets</f>
        <v/>
      </c>
      <c r="D54" s="88" t="inlineStr">
        <is>
          <t>INC_sales / startYear_total_assets</t>
        </is>
      </c>
      <c r="E54" s="88" t="inlineStr">
        <is>
          <t>RATIO_asset_turnover</t>
        </is>
      </c>
    </row>
    <row r="55" ht="15" customHeight="1" s="53">
      <c r="B55" s="69" t="inlineStr">
        <is>
          <t>Receivables turnover</t>
        </is>
      </c>
      <c r="C55" s="98">
        <f>INC_sales/startYear_receivables</f>
        <v/>
      </c>
      <c r="D55" s="88" t="inlineStr">
        <is>
          <t>INC_sales / startYear_receivables</t>
        </is>
      </c>
      <c r="E55" s="88" t="n"/>
    </row>
    <row r="56" ht="15" customHeight="1" s="53">
      <c r="B56" s="69" t="inlineStr">
        <is>
          <t>Average collection period (days)</t>
        </is>
      </c>
      <c r="C56" s="100">
        <f>startYear_receivables/currentYear_daily_sales_average</f>
        <v/>
      </c>
      <c r="D56" s="88" t="inlineStr">
        <is>
          <t>startYear_receivables / currentYear_daily_sales_average</t>
        </is>
      </c>
      <c r="E56" s="88" t="n"/>
    </row>
    <row r="57" ht="15" customHeight="1" s="53">
      <c r="B57" s="69" t="inlineStr">
        <is>
          <t>Inventory turnover</t>
        </is>
      </c>
      <c r="C57" s="98">
        <f>INC_cost_goods_sold/startYear_inventory</f>
        <v/>
      </c>
      <c r="D57" s="88" t="inlineStr">
        <is>
          <t>INC_cost_goods_sold / startYear_inventory</t>
        </is>
      </c>
      <c r="E57" s="88" t="n"/>
    </row>
    <row r="58" ht="15" customHeight="1" s="53">
      <c r="B58" s="69" t="inlineStr">
        <is>
          <t>Days in inventory</t>
        </is>
      </c>
      <c r="C58" s="100">
        <f>startYear_inventory/currentYear_cost_goods_sold_daily</f>
        <v/>
      </c>
      <c r="D58" s="88" t="inlineStr">
        <is>
          <t>startYear_inventory / currentYear_cost_goods_sold_daily</t>
        </is>
      </c>
      <c r="E58" s="88" t="n"/>
    </row>
    <row r="59" ht="15" customHeight="1" s="53">
      <c r="B59" s="69" t="inlineStr">
        <is>
          <t>Profit margin</t>
        </is>
      </c>
      <c r="C59" s="99">
        <f>INC_net/INC_sales</f>
        <v/>
      </c>
      <c r="D59" s="88" t="inlineStr">
        <is>
          <t>INC_net / INC_sales</t>
        </is>
      </c>
      <c r="E59" s="88" t="n"/>
    </row>
    <row r="60" ht="15" customHeight="1" s="53">
      <c r="B60" s="69" t="inlineStr">
        <is>
          <t>Operating profit margin</t>
        </is>
      </c>
      <c r="C60" s="99">
        <f>currentYear_after_tax_operating_income/INC_sales</f>
        <v/>
      </c>
      <c r="D60" s="88" t="inlineStr">
        <is>
          <t>currentYear_after_tax_operating_income / INC_sales</t>
        </is>
      </c>
      <c r="E60" s="88" t="inlineStr">
        <is>
          <t>RATIO_operating_profit_margin</t>
        </is>
      </c>
    </row>
    <row r="61" ht="16.5" customHeight="1" s="53">
      <c r="B61" s="62" t="inlineStr">
        <is>
          <t>Leverage</t>
        </is>
      </c>
      <c r="C61" s="54" t="n"/>
      <c r="D61" s="54" t="n"/>
      <c r="E61" s="54" t="n"/>
    </row>
    <row r="62" ht="15" customHeight="1" s="53">
      <c r="B62" s="69" t="inlineStr">
        <is>
          <t>Long-term debt ratio</t>
        </is>
      </c>
      <c r="C62" s="99">
        <f>currentYear_debt_long_term/(currentYear_debt_long_term+currentYear_equity)</f>
        <v/>
      </c>
      <c r="D62" s="88" t="inlineStr">
        <is>
          <t>currentYear_debt_long_term / (currentYear_debt_long_term + currentYear_equity)</t>
        </is>
      </c>
      <c r="E62" s="88" t="n"/>
    </row>
    <row r="63" ht="15" customHeight="1" s="53">
      <c r="B63" s="69" t="inlineStr">
        <is>
          <t>Long-term debt-equity ratio</t>
        </is>
      </c>
      <c r="C63" s="98">
        <f>currentYear_debt_long_term/currentYear_equity</f>
        <v/>
      </c>
      <c r="D63" s="88" t="inlineStr">
        <is>
          <t>currentYear_debt_long_term / currentYear_equity</t>
        </is>
      </c>
      <c r="E63" s="88" t="n"/>
    </row>
    <row r="64" ht="15" customHeight="1" s="53">
      <c r="B64" s="69" t="inlineStr">
        <is>
          <t>Total debt ratio</t>
        </is>
      </c>
      <c r="C64" s="99">
        <f>currentYear_liabilities_total/currentYear_assets_total</f>
        <v/>
      </c>
      <c r="D64" s="88" t="inlineStr">
        <is>
          <t>currentYear_liabilities_total / currentYear_assets_total</t>
        </is>
      </c>
      <c r="E64" s="88" t="n"/>
    </row>
    <row r="65" ht="15" customHeight="1" s="53">
      <c r="B65" s="69" t="inlineStr">
        <is>
          <t>Times interest earned</t>
        </is>
      </c>
      <c r="C65" s="98">
        <f>IFERROR(INC_ebit/INC_interest_expense,"")</f>
        <v/>
      </c>
      <c r="D65" s="88" t="inlineStr">
        <is>
          <t>INC_ebit / INC_interest_expense</t>
        </is>
      </c>
      <c r="E65" s="88" t="n"/>
    </row>
    <row r="66" ht="15" customHeight="1" s="53">
      <c r="B66" s="69" t="inlineStr">
        <is>
          <t>Cash coverage ratio</t>
        </is>
      </c>
      <c r="C66" s="98">
        <f>IFERROR((INC_ebit+INC_depreciation)/INC_interest_expense,"")</f>
        <v/>
      </c>
      <c r="D66" s="88" t="inlineStr">
        <is>
          <t>(INC_ebit + INC_depreciation) / INC_interest_expense</t>
        </is>
      </c>
      <c r="E66" s="88" t="n"/>
    </row>
    <row r="67" ht="15" customHeight="1" s="53">
      <c r="B67" s="69" t="inlineStr">
        <is>
          <t>Debt burden</t>
        </is>
      </c>
      <c r="C67" s="101">
        <f>INC_net/currentYear_after_tax_operating_income</f>
        <v/>
      </c>
      <c r="D67" s="88" t="inlineStr">
        <is>
          <t>INC_net / currentYear_after_tax_operating_income</t>
        </is>
      </c>
      <c r="E67" s="88" t="inlineStr">
        <is>
          <t>RATIO_debt_burden</t>
        </is>
      </c>
    </row>
    <row r="68" ht="15" customHeight="1" s="53">
      <c r="B68" s="69" t="inlineStr">
        <is>
          <t>Leverage ratio</t>
        </is>
      </c>
      <c r="C68" s="98">
        <f>currentYear_assets_total/currentYear_equity</f>
        <v/>
      </c>
      <c r="D68" s="88" t="inlineStr">
        <is>
          <t>currentYear_assets_total / currentYear_equity</t>
        </is>
      </c>
      <c r="E68" s="88" t="inlineStr">
        <is>
          <t>RATIO_leverage</t>
        </is>
      </c>
    </row>
    <row r="69" ht="16.5" customHeight="1" s="53">
      <c r="B69" s="62" t="inlineStr">
        <is>
          <t>Liquidity</t>
        </is>
      </c>
      <c r="C69" s="54" t="n"/>
      <c r="D69" s="54" t="n"/>
      <c r="E69" s="54" t="n"/>
    </row>
    <row r="70" ht="15" customHeight="1" s="53">
      <c r="B70" s="69" t="inlineStr">
        <is>
          <t>Net working capital to assets</t>
        </is>
      </c>
      <c r="C70" s="99">
        <f>currentYear_working_capital_net/currentYear_assets_total</f>
        <v/>
      </c>
      <c r="D70" s="88" t="inlineStr">
        <is>
          <t>currentYear_working_capital_net / currentYear_assets_total</t>
        </is>
      </c>
      <c r="E70" s="88" t="n"/>
    </row>
    <row r="71" ht="15" customHeight="1" s="53">
      <c r="B71" s="69" t="inlineStr">
        <is>
          <t>Current ratio</t>
        </is>
      </c>
      <c r="C71" s="98">
        <f>currentYear_assets_current/currentYear_liabilities_current</f>
        <v/>
      </c>
      <c r="D71" s="88" t="inlineStr">
        <is>
          <t>currentYear_assets_current / currentYear_liabilities_current</t>
        </is>
      </c>
      <c r="E71" s="88" t="n"/>
    </row>
    <row r="72" ht="15" customHeight="1" s="53">
      <c r="B72" s="69" t="inlineStr">
        <is>
          <t>Quick ratio</t>
        </is>
      </c>
      <c r="C72" s="98">
        <f>(currentYear_cash_marketable_securities+BAL_receivables_curr)/currentYear_liabilities_current</f>
        <v/>
      </c>
      <c r="D72" s="88" t="inlineStr">
        <is>
          <t>(currentYear_cash_marketable_securities + BAL_receivables_curr) / currentYear_liabilities_current</t>
        </is>
      </c>
      <c r="E72" s="88" t="n"/>
    </row>
    <row r="73" ht="15" customHeight="1" s="53">
      <c r="B73" s="69" t="inlineStr">
        <is>
          <t>Cash ratio</t>
        </is>
      </c>
      <c r="C73" s="98">
        <f>currentYear_cash_marketable_securities/currentYear_liabilities_current</f>
        <v/>
      </c>
      <c r="D73" s="88" t="inlineStr">
        <is>
          <t>currentYear_cash_marketable_securities / currentYear_liabilities_current</t>
        </is>
      </c>
      <c r="E73" s="88" t="n"/>
    </row>
    <row r="74" ht="16.5" customHeight="1" s="53">
      <c r="B74" s="62" t="inlineStr">
        <is>
          <t>Du Pont System</t>
        </is>
      </c>
      <c r="C74" s="54" t="n"/>
      <c r="D74" s="54" t="n"/>
      <c r="E74" s="54" t="n"/>
    </row>
    <row r="75" ht="15" customHeight="1" s="53">
      <c r="B75" s="69" t="inlineStr">
        <is>
          <t>Return on assets (Du Pont)</t>
        </is>
      </c>
      <c r="C75" s="99">
        <f>RATIO_asset_turnover*RATIO_operating_profit_margin</f>
        <v/>
      </c>
      <c r="D75" s="88" t="inlineStr">
        <is>
          <t>RATIO_asset_turnover × RATIO_operating_profit_margin</t>
        </is>
      </c>
      <c r="E75" s="88" t="n"/>
      <c r="F75" s="102">
        <f>IF(OR(C75="",C47=""),"",IF(ROUND(C75,6)=ROUND(C47,6),"✓ matches direct ROA","✗ differs by "&amp;TEXT(ABS(C75-C47),"0.00%")))</f>
        <v/>
      </c>
    </row>
    <row r="76" ht="15" customHeight="1" s="53">
      <c r="B76" s="69" t="inlineStr">
        <is>
          <t>Return on equity (Du Pont)</t>
        </is>
      </c>
      <c r="C76" s="99">
        <f>RATIO_leverage*RATIO_asset_turnover*RATIO_operating_profit_margin*RATIO_debt_burden</f>
        <v/>
      </c>
      <c r="D76" s="88" t="inlineStr">
        <is>
          <t>RATIO_leverage × RATIO_asset_turnover × RATIO_operating_profit_margin × RATIO_debt_burden</t>
        </is>
      </c>
      <c r="E76" s="88" t="n"/>
    </row>
  </sheetData>
  <mergeCells count="3">
    <mergeCell ref="B14:E14"/>
    <mergeCell ref="B35:E35"/>
    <mergeCell ref="B21:E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C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4" activeCellId="0" sqref="C4"/>
    </sheetView>
  </sheetViews>
  <sheetFormatPr baseColWidth="8" defaultColWidth="8.6796875" defaultRowHeight="14.25" zeroHeight="0" outlineLevelRow="0"/>
  <cols>
    <col width="3.91" customWidth="1" style="52" min="1" max="1"/>
    <col width="28" customWidth="1" style="52" min="2" max="2"/>
    <col width="70" customWidth="1" style="52" min="3" max="3"/>
  </cols>
  <sheetData>
    <row r="2" ht="22.5" customHeight="1" s="53">
      <c r="B2" s="72" t="inlineStr">
        <is>
          <t>Notes &amp; Assumptions</t>
        </is>
      </c>
    </row>
    <row r="4" ht="14.25" customHeight="1" s="53">
      <c r="B4" s="103" t="inlineStr">
        <is>
          <t>Company</t>
        </is>
      </c>
      <c r="C4" s="61" t="inlineStr">
        <is>
          <t>The Coca-Cola Company</t>
        </is>
      </c>
    </row>
    <row r="5" ht="14.25" customHeight="1" s="53">
      <c r="B5" s="103" t="inlineStr">
        <is>
          <t>Ticker</t>
        </is>
      </c>
      <c r="C5" s="61" t="inlineStr">
        <is>
          <t>KO</t>
        </is>
      </c>
    </row>
    <row r="6" ht="14.25" customHeight="1" s="53">
      <c r="B6" s="103" t="inlineStr">
        <is>
          <t>Industry</t>
        </is>
      </c>
      <c r="C6" s="61" t="inlineStr">
        <is>
          <t>Non-Alcoholic Beverages (GICS: 30201030)</t>
        </is>
      </c>
    </row>
    <row r="7" ht="14.25" customHeight="1" s="53">
      <c r="B7" s="103" t="inlineStr">
        <is>
          <t>Fiscal Year (current)</t>
        </is>
      </c>
      <c r="C7" s="61" t="inlineStr">
        <is>
          <t>FY2025 (Jan 1 – Dec 31, 2025)</t>
        </is>
      </c>
    </row>
    <row r="8" ht="14.25" customHeight="1" s="53">
      <c r="B8" s="103" t="inlineStr">
        <is>
          <t>Fiscal Year (prior)</t>
        </is>
      </c>
      <c r="C8" s="61" t="inlineStr">
        <is>
          <t>FY2024 (Jan 1 – Dec 31, 2024)</t>
        </is>
      </c>
    </row>
    <row r="9" ht="14.25" customHeight="1" s="53">
      <c r="B9" s="103" t="inlineStr">
        <is>
          <t>Data Source</t>
        </is>
      </c>
      <c r="C9" s="61" t="inlineStr">
        <is>
          <t>Mergent 5-Year Data + SEC EDGAR 10-K FY2025 (ko-20251231.htm)</t>
        </is>
      </c>
    </row>
    <row r="10" ht="14.25" customHeight="1" s="53">
      <c r="B10" s="103" t="inlineStr">
        <is>
          <t>Units</t>
        </is>
      </c>
      <c r="C10" s="61" t="inlineStr">
        <is>
          <t>All figures in $millions unless otherwise noted</t>
        </is>
      </c>
    </row>
    <row r="11" ht="23.25" customHeight="1" s="53">
      <c r="B11" s="103" t="inlineStr">
        <is>
          <t>Tax Rate</t>
        </is>
      </c>
      <c r="C11" s="61" t="inlineStr">
        <is>
          <t>17.88% effective rate (Provision for Income Taxes $2,861M ÷ Net Income Before Taxes $15,998M; source: FY2025 10-K)</t>
        </is>
      </c>
    </row>
    <row r="12" ht="14.25" customHeight="1" s="53">
      <c r="B12" s="103" t="inlineStr">
        <is>
          <t>Cost of Capital</t>
        </is>
      </c>
      <c r="C12" s="61" t="inlineStr">
        <is>
          <t>9.0% — class assumption (BUS-629 template default)</t>
        </is>
      </c>
    </row>
    <row r="13" ht="14.25" customHeight="1" s="53">
      <c r="B13" s="103" t="inlineStr">
        <is>
          <t>Share Price</t>
        </is>
      </c>
      <c r="C13" s="61" t="inlineStr">
        <is>
          <t>$69.43 (NYSE closing price, December 31, 2025; source: StatMuse)</t>
        </is>
      </c>
    </row>
    <row r="14" ht="23.25" customHeight="1" s="53">
      <c r="B14" s="103" t="inlineStr">
        <is>
          <t>Shares Outstanding</t>
        </is>
      </c>
      <c r="C14" s="61" t="inlineStr">
        <is>
          <t>4,302M basic shares outstanding (Dec 31, 2025); 4,313M diluted weighted avg (FY2025 10-K)</t>
        </is>
      </c>
    </row>
    <row r="16" ht="14.25" customHeight="1" s="53">
      <c r="B16" s="103" t="inlineStr">
        <is>
          <t>BUS-629 Project Use</t>
        </is>
      </c>
      <c r="C16" s="61" t="inlineStr">
        <is>
          <t>Template for the Accounting &amp; Performance Ratios project</t>
        </is>
      </c>
    </row>
    <row r="17" ht="28.5" customHeight="1" s="53">
      <c r="B17" s="103" t="inlineStr">
        <is>
          <t>Stage 2 Task</t>
        </is>
      </c>
      <c r="C17" s="61" t="inlineStr">
        <is>
          <t>Upload your copy of this template to your repo at models/templates/.</t>
        </is>
      </c>
    </row>
    <row r="18" ht="28.5" customHeight="1" s="53">
      <c r="B18" s="103" t="inlineStr">
        <is>
          <t>Stage 3 Task</t>
        </is>
      </c>
      <c r="C18" s="61" t="inlineStr">
        <is>
          <t>Populate Balance Sheet, Income Statement, and Cash Flow with your selected company’s figures; enter the four assumptions on the Ratios tab; then compute all ratios in column C using the named-range formulas shown in column D.</t>
        </is>
      </c>
    </row>
    <row r="19" ht="28.5" customHeight="1" s="53">
      <c r="B19" s="103" t="inlineStr">
        <is>
          <t>Stage 4 Task</t>
        </is>
      </c>
      <c r="C19" s="61" t="inlineStr">
        <is>
          <t>Use an LLM to draft a technical specification (spec-template.md) covering this model and the analysis it should produce.</t>
        </is>
      </c>
    </row>
    <row r="20" ht="28.5" customHeight="1" s="53">
      <c r="B20" s="103" t="inlineStr">
        <is>
          <t>AI Usage</t>
        </is>
      </c>
      <c r="C20" s="61" t="inlineStr">
        <is>
          <t>Execute spec with LLM; evaluate output; ship final analysis as part of polished portfolio repo.</t>
        </is>
      </c>
    </row>
    <row r="22" ht="14.25" customHeight="1" s="53">
      <c r="B22" s="103" t="inlineStr">
        <is>
          <t>Self-checks</t>
        </is>
      </c>
    </row>
    <row r="23" ht="31.5" customHeight="1" s="53">
      <c r="B23" s="103" t="inlineStr">
        <is>
          <t>Du Pont ROA</t>
        </is>
      </c>
      <c r="C23" s="61" t="inlineStr">
        <is>
          <t>Du Pont ROA (Ratios!C75) is mathematically identical to direct ROA (Ratios!C47). The inline check on Ratios!F75 confirms the match — investigate any discrepancy before submitting.</t>
        </is>
      </c>
    </row>
    <row r="24" ht="45" customHeight="1" s="53">
      <c r="B24" s="103" t="inlineStr">
        <is>
          <t>Du Pont ROE</t>
        </is>
      </c>
      <c r="C24" s="61" t="inlineStr">
        <is>
          <t>Du Pont ROE (Ratios!C76) will not exactly equal direct ROE (Ratios!C49) in this model: the leverage component uses current-year balances while asset turnover uses prior-year assets. Explain this time-mismatch in your Stage 4 memo.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2026-04-24T19:43:19Z</dcterms:created>
  <dcterms:modified xsi:type="dcterms:W3CDTF">2026-05-16T01:54:29Z</dcterms:modified>
  <cp:lastModifiedBy>Adam Stauffer</cp:lastModifiedBy>
  <cp:revision>0</cp:revision>
</cp:coreProperties>
</file>