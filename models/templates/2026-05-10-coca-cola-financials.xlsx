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7cbdb28c43eca10/Tài liệu/GitHub/Corporate-Finance/models/templates/"/>
    </mc:Choice>
  </mc:AlternateContent>
  <xr:revisionPtr revIDLastSave="17" documentId="8_{CB1A3533-58D9-4CDF-A9BF-92729DA9008F}" xr6:coauthVersionLast="47" xr6:coauthVersionMax="47" xr10:uidLastSave="{FD2FE666-523D-4237-A210-DB9A6E5C2007}"/>
  <bookViews>
    <workbookView xWindow="-98" yWindow="-98" windowWidth="21795" windowHeight="12975" activeTab="5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F75" i="5"/>
  <c r="C38" i="5"/>
  <c r="C36" i="5"/>
  <c r="C32" i="5"/>
  <c r="C29" i="5"/>
  <c r="C28" i="5"/>
  <c r="C25" i="5"/>
  <c r="C24" i="5"/>
  <c r="C23" i="5"/>
  <c r="C19" i="5"/>
  <c r="C17" i="5"/>
  <c r="C16" i="5"/>
  <c r="C15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<sst xmlns="http://schemas.openxmlformats.org/spreadsheetml/2006/main" count="335" uniqueCount="322">
  <si>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</si>
  <si>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</si>
  <si>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</si>
  <si>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</si>
  <si>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</si>
  <si>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</si>
  <si>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</si>
  <si>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</si>
  <si>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</si>
  <si>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</si>
  <si>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</si>
  <si>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</si>
  <si>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</si>
  <si>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</si>
  <si>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</si>
  <si>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</si>
  <si>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</si>
  <si>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</si>
  <si>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</si>
  <si>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</si>
  <si>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</si>
  <si>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</si>
  <si>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</si>
  <si>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</si>
  <si>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</si>
  <si>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</si>
  <si>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</si>
  <si>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</si>
  <si>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</si>
  <si>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</si>
  <si>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</si>
  <si>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</si>
  <si>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</si>
  <si>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</si>
  <si>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</si>
  <si>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</si>
  <si>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</si>
  <si>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</si>
  <si>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</si>
  <si>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</si>
  <si>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</si>
  <si>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</si>
  <si>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</si>
  <si>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</si>
  <si>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</si>
  <si>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</si>
  <si>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</si>
  <si>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</si>
  <si>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</si>
  <si>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</si>
  <si>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</si>
  <si>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</si>
  <si>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</si>
  <si>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</si>
  <si>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</si>
  <si>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</si>
  <si>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</si>
  <si>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</si>
  <si>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</si>
  <si>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</si>
  <si>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</si>
  <si>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</si>
  <si>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</si>
  <si>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</si>
  <si>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</si>
  <si>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</si>
  <si>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</si>
  <si>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</si>
  <si>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</si>
  <si>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</si>
  <si>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</si>
  <si>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</si>
  <si>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</si>
  <si>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</si>
  <si>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</si>
  <si>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</si>
  <si>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</si>
  <si>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</si>
  <si>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</si>
  <si>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</si>
  <si>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</si>
  <si>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</si>
  <si>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</si>
  <si>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</si>
  <si>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</si>
  <si>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</si>
  <si>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</si>
  <si>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</si>
  <si>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</si>
  <si>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</si>
  <si>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</si>
  <si>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</si>
  <si>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</si>
  <si>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</si>
  <si>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</si>
  <si>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</si>
  <si>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</si>
  <si>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</si>
  <si>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</si>
  <si>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</si>
  <si>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</si>
  <si>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</si>
  <si>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</si>
  <si>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</si>
  <si>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</si>
  <si>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</si>
  <si>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</si>
  <si>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</si>
  <si>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</si>
  <si>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</si>
  <si>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</si>
  <si>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</si>
  <si>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</si>
  <si>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</si>
  <si>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</si>
  <si>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</si>
  <si>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</si>
  <si>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</si>
  <si>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</si>
  <si>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</si>
  <si>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</si>
  <si>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</si>
  <si>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</si>
  <si>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</si>
  <si>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</si>
  <si>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</si>
  <si>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</si>
  <si>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</si>
  <si>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</si>
  <si>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</si>
  <si>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</si>
  <si>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</si>
  <si>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</si>
  <si>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</si>
  <si>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</si>
  <si>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</si>
  <si>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</si>
  <si>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</si>
  <si>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</si>
  <si>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</si>
  <si>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</si>
  <si>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</si>
  <si>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</si>
  <si>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</si>
  <si>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</si>
  <si>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</si>
  <si>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</si>
  <si>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</si>
  <si>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</si>
  <si>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</si>
  <si>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</si>
  <si>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</si>
  <si>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</si>
  <si>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</si>
  <si>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</si>
  <si>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</si>
  <si>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</si>
  <si>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</si>
  <si>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</si>
  <si>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</si>
  <si>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</si>
  <si>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</si>
  <si>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</si>
  <si>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</si>
  <si>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</si>
  <si>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</si>
  <si>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</si>
  <si>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</si>
  <si>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</si>
  <si>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</si>
  <si>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</si>
  <si>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</si>
  <si>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</si>
  <si>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</si>
  <si>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</si>
  <si>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</si>
  <si>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</si>
  <si>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</si>
  <si>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</si>
  <si>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</si>
  <si>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</si>
  <si>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</si>
  <si>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</si>
  <si>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</si>
  <si>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</si>
  <si>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</si>
  <si>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</si>
  <si>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</si>
  <si>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</si>
  <si>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</si>
  <si>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</si>
  <si>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</si>
  <si>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</si>
  <si>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</si>
  <si>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</si>
  <si>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</si>
  <si>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</si>
  <si>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</si>
  <si>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</si>
  <si>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</si>
  <si>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</si>
  <si>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</si>
  <si>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</si>
  <si>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</si>
  <si>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</si>
  <si>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</si>
  <si>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</si>
  <si>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</si>
  <si>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</si>
  <si>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</si>
  <si>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</si>
  <si>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</si>
  <si>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</si>
  <si>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</si>
  <si>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</si>
  <si>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</si>
  <si>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</si>
  <si>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</si>
  <si>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</si>
  <si>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</si>
  <si>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</si>
  <si>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</si>
  <si>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</si>
  <si>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</si>
  <si>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</si>
  <si>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</si>
  <si>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</si>
  <si>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</si>
  <si>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</si>
  <si>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</si>
  <si>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</si>
  <si>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</si>
  <si>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</si>
  <si>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</si>
  <si>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</si>
  <si>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</si>
  <si>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</si>
  <si>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</si>
  <si>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</si>
  <si>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</si>
  <si>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</si>
  <si>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</si>
  <si>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</si>
  <si>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</si>
  <si>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</si>
  <si>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</si>
  <si>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</si>
  <si>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</si>
  <si>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</si>
  <si>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</si>
  <si>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</si>
  <si>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</si>
  <si>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</si>
  <si>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</si>
  <si>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</si>
  <si>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</si>
  <si>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</si>
  <si>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</si>
  <si>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</si>
  <si>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</si>
  <si>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</si>
  <si>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</si>
  <si>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</si>
  <si>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</si>
  <si>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</si>
  <si>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</si>
  <si>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</si>
  <si>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</si>
  <si>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</si>
  <si>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</si>
  <si>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</si>
  <si>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</si>
  <si>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</si>
  <si>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</si>
  <si>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</si>
  <si>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</si>
  <si>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</si>
  <si>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</si>
  <si>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</si>
  <si>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</si>
  <si>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</si>
  <si>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</si>
  <si>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</si>
  <si>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</si>
  <si>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</si>
  <si>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</si>
  <si>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</si>
  <si>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</si>
  <si>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</si>
  <si>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</si>
  <si>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</si>
  <si>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</si>
  <si>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</si>
  <si>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</si>
  <si>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</si>
  <si>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</si>
  <si>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[X.X% — source/method, e.g., CAPM, class working WACC]</t>
  </si>
  <si>
    <t>Share Price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</si>
  <si>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</si>
  <si>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</si>
  <si>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</si>
  <si>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</si>
  <si>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</si>
  <si>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</si>
  <si>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</si>
  <si>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</si>
  <si>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</si>
  <si>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</si>
  <si>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</si>
  <si>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</si>
  <si>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</si>
  <si>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</si>
  <si>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</si>
  <si>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</si>
  <si>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</si>
  <si>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The Coca-Cola Company</t>
  </si>
  <si>
    <t>KO</t>
  </si>
  <si>
    <t>Beverages — Non-Alcoholic / Consumer Staples</t>
  </si>
  <si>
    <t>FY2024 (Jan 1 – Dec 31, 2024)</t>
  </si>
  <si>
    <t>FY2023 (Jan 1 – Dec 31, 2023)</t>
  </si>
  <si>
    <t>https://www.sec.gov/cgi-bin/browse-edgar?action=getcompany&amp;CIK=KO&amp;type=10-K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</si>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</sst>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0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  <xf numFmtId="0" fontId="10" fillId="8" borderId="0" xfId="0" applyFont="1" applyFill="1" applyAlignment="1">
      <alignment vertical="top"/>
    </xf>
    <xf numFmtId="0" fontId="6" fillId="8" borderId="0" xfId="0" applyFont="1" applyFill="1" applyAlignment="1">
      <alignment vertical="top" wrapText="1"/>
    </xf>
    <xf numFmtId="0" fontId="10" fillId="0" borderId="0" xfId="0" applyFont="1" applyFill="1" applyAlignment="1">
      <alignment vertical="top"/>
    </xf>
    <xf numFmtId="9" fontId="6" fillId="0" borderId="0" xfId="1" applyFont="1" applyFill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opLeftCell="A17" workbookViewId="0">
      <selection activeCell="B14" sqref="B14"/>
    </sheetView>
  </sheetViews>
  <sheetFormatPr defaultRowHeight="14.25" x14ac:dyDescent="0.4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45">
      <c r="B2" s="1"/>
      <c r="C2" s="1"/>
    </row>
    <row r="4" spans="2:3" ht="14.65" x14ac:dyDescent="0.5">
      <c r="B4" s="45" t="s">
        <v>157</v>
      </c>
      <c r="C4" s="46"/>
    </row>
    <row r="5" spans="2:3" ht="26" customHeight="1" x14ac:dyDescent="0.9">
      <c r="B5" s="49" t="s">
        <v>158</v>
      </c>
      <c r="C5" s="46"/>
    </row>
    <row r="6" spans="2:3" ht="18" customHeight="1" x14ac:dyDescent="0.6">
      <c r="B6" s="47" t="s">
        <v>159</v>
      </c>
      <c r="C6" s="46"/>
    </row>
    <row r="7" spans="2:3" ht="4.05" customHeight="1" x14ac:dyDescent="0.45">
      <c r="B7" s="2"/>
      <c r="C7" s="2"/>
    </row>
    <row r="9" spans="2:3" ht="19.5" customHeight="1" x14ac:dyDescent="0.65">
      <c r="B9" s="48" t="s">
        <v>160</v>
      </c>
      <c r="C9" s="46"/>
    </row>
    <row r="10" spans="2:3" ht="18" customHeight="1" x14ac:dyDescent="0.45">
      <c r="B10" s="3" t="s">
        <v>161</v>
      </c>
      <c r="C10" s="4" t="s">
        <v>162</v>
      </c>
    </row>
    <row r="11" spans="2:3" ht="18" customHeight="1" x14ac:dyDescent="0.45">
      <c r="B11" s="3" t="s">
        <v>163</v>
      </c>
      <c r="C11" s="4" t="s">
        <v>164</v>
      </c>
    </row>
    <row r="12" spans="2:3" ht="18" customHeight="1" x14ac:dyDescent="0.45">
      <c r="B12" s="3" t="s">
        <v>165</v>
      </c>
      <c r="C12" s="4" t="s">
        <v>166</v>
      </c>
    </row>
    <row r="13" spans="2:3" ht="18" customHeight="1" x14ac:dyDescent="0.45">
      <c r="B13" s="3" t="s">
        <v>167</v>
      </c>
      <c r="C13" s="4" t="s">
        <v>168</v>
      </c>
    </row>
    <row r="14" spans="2:3" ht="18" customHeight="1" x14ac:dyDescent="0.45">
      <c r="B14" s="3" t="s">
        <v>169</v>
      </c>
      <c r="C14" s="4" t="s">
        <v>170</v>
      </c>
    </row>
    <row r="15" spans="2:3" ht="18" customHeight="1" x14ac:dyDescent="0.45">
      <c r="B15" s="3" t="s">
        <v>171</v>
      </c>
      <c r="C15" s="4" t="s">
        <v>172</v>
      </c>
    </row>
    <row r="17" spans="2:3" ht="19.5" customHeight="1" x14ac:dyDescent="0.65">
      <c r="B17" s="48" t="s">
        <v>173</v>
      </c>
      <c r="C17" s="46"/>
    </row>
    <row r="18" spans="2:3" ht="16.5" customHeight="1" x14ac:dyDescent="0.55000000000000004">
      <c r="B18" s="5" t="s">
        <v>174</v>
      </c>
      <c r="C18" s="5" t="s">
        <v>175</v>
      </c>
    </row>
    <row r="19" spans="2:3" ht="30" customHeight="1" x14ac:dyDescent="0.55000000000000004">
      <c r="B19" s="6" t="s">
        <v>176</v>
      </c>
      <c r="C19" s="7" t="s">
        <v>177</v>
      </c>
    </row>
    <row r="20" spans="2:3" ht="30" customHeight="1" x14ac:dyDescent="0.55000000000000004">
      <c r="B20" s="8" t="s">
        <v>178</v>
      </c>
      <c r="C20" s="7" t="s">
        <v>179</v>
      </c>
    </row>
    <row r="21" spans="2:3" ht="30" customHeight="1" x14ac:dyDescent="0.55000000000000004">
      <c r="B21" s="9" t="s">
        <v>180</v>
      </c>
      <c r="C21" s="7" t="s">
        <v>181</v>
      </c>
    </row>
    <row r="22" spans="2:3" ht="30" customHeight="1" x14ac:dyDescent="0.55000000000000004">
      <c r="B22" s="10" t="s">
        <v>182</v>
      </c>
      <c r="C22" s="7" t="s">
        <v>183</v>
      </c>
    </row>
    <row r="24" spans="2:3" ht="19.5" customHeight="1" x14ac:dyDescent="0.65">
      <c r="B24" s="48" t="s">
        <v>184</v>
      </c>
      <c r="C24" s="46"/>
    </row>
    <row r="25" spans="2:3" ht="16.5" customHeight="1" x14ac:dyDescent="0.55000000000000004">
      <c r="B25" s="5" t="s">
        <v>185</v>
      </c>
      <c r="C25" s="5" t="s">
        <v>175</v>
      </c>
    </row>
    <row r="26" spans="2:3" ht="24" customHeight="1" x14ac:dyDescent="0.45">
      <c r="B26" s="11" t="s">
        <v>186</v>
      </c>
      <c r="C26" s="7" t="s">
        <v>187</v>
      </c>
    </row>
    <row r="27" spans="2:3" ht="24" customHeight="1" x14ac:dyDescent="0.45">
      <c r="B27" s="11" t="s">
        <v>188</v>
      </c>
      <c r="C27" s="7" t="s">
        <v>189</v>
      </c>
    </row>
    <row r="28" spans="2:3" ht="24" customHeight="1" x14ac:dyDescent="0.45">
      <c r="B28" s="11" t="s">
        <v>190</v>
      </c>
      <c r="C28" s="7" t="s">
        <v>191</v>
      </c>
    </row>
    <row r="29" spans="2:3" ht="24" customHeight="1" x14ac:dyDescent="0.45">
      <c r="B29" s="11" t="s">
        <v>192</v>
      </c>
      <c r="C29" s="7" t="s">
        <v>193</v>
      </c>
    </row>
    <row r="30" spans="2:3" ht="24" customHeight="1" x14ac:dyDescent="0.45">
      <c r="B30" s="11" t="s">
        <v>194</v>
      </c>
      <c r="C30" s="7" t="s">
        <v>195</v>
      </c>
    </row>
    <row r="31" spans="2:3" ht="24" customHeight="1" x14ac:dyDescent="0.45">
      <c r="B31" s="11" t="s">
        <v>196</v>
      </c>
      <c r="C31" s="7" t="s">
        <v>197</v>
      </c>
    </row>
    <row r="32" spans="2:3" ht="24" customHeight="1" x14ac:dyDescent="0.45">
      <c r="B32" s="11" t="s">
        <v>198</v>
      </c>
      <c r="C32" s="7" t="s">
        <v>199</v>
      </c>
    </row>
    <row r="33" spans="2:3" ht="24" customHeight="1" x14ac:dyDescent="0.45">
      <c r="B33" s="11" t="s">
        <v>200</v>
      </c>
      <c r="C33" s="7" t="s">
        <v>201</v>
      </c>
    </row>
    <row r="36" spans="2:3" ht="19.5" customHeight="1" x14ac:dyDescent="0.65">
      <c r="B36" s="48" t="s">
        <v>202</v>
      </c>
      <c r="C36" s="46"/>
    </row>
    <row r="37" spans="2:3" ht="15" customHeight="1" x14ac:dyDescent="0.55000000000000004">
      <c r="B37" s="12" t="s">
        <v>203</v>
      </c>
      <c r="C37" s="13" t="s">
        <v>204</v>
      </c>
    </row>
    <row r="38" spans="2:3" ht="15" customHeight="1" x14ac:dyDescent="0.55000000000000004">
      <c r="B38" s="12" t="s">
        <v>205</v>
      </c>
      <c r="C38" s="13" t="s">
        <v>206</v>
      </c>
    </row>
    <row r="41" spans="2:3" x14ac:dyDescent="0.45">
      <c r="B41" s="50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6" sqref="C26"/>
    </sheetView>
  </sheetViews>
  <sheetFormatPr defaultRowHeight="14.25" x14ac:dyDescent="0.4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85">
      <c r="B2" s="14" t="s">
        <v>208</v>
      </c>
    </row>
    <row r="3" spans="2:8" ht="14.65" x14ac:dyDescent="0.5">
      <c r="B3" s="15" t="s">
        <v>209</v>
      </c>
    </row>
    <row r="5" spans="2:8" ht="16.5" customHeight="1" x14ac:dyDescent="0.55000000000000004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55000000000000004">
      <c r="B6" s="18" t="s">
        <v>214</v>
      </c>
      <c r="F6" s="18" t="s">
        <v>215</v>
      </c>
    </row>
    <row r="7" spans="2:8" ht="15" customHeight="1" x14ac:dyDescent="0.55000000000000004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55000000000000004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55000000000000004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55000000000000004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55000000000000004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55000000000000004">
      <c r="F12" s="12" t="s">
        <v>60</v>
      </c>
      <c r="G12" s="19"/>
      <c r="H12" s="19"/>
    </row>
    <row r="13" spans="2:8" ht="15" customHeight="1" x14ac:dyDescent="0.55000000000000004">
      <c r="B13" s="18" t="s">
        <v>225</v>
      </c>
      <c r="F13" s="12" t="s">
        <v>226</v>
      </c>
      <c r="G13" s="19"/>
      <c r="H13" s="19"/>
    </row>
    <row r="14" spans="2:8" ht="15" customHeight="1" x14ac:dyDescent="0.55000000000000004">
      <c r="B14" s="12" t="s">
        <v>227</v>
      </c>
      <c r="C14" s="19"/>
      <c r="D14" s="19"/>
    </row>
    <row r="15" spans="2:8" ht="15" customHeight="1" x14ac:dyDescent="0.55000000000000004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55000000000000004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55000000000000004">
      <c r="F17" s="18" t="s">
        <v>231</v>
      </c>
    </row>
    <row r="18" spans="2:8" ht="15" customHeight="1" x14ac:dyDescent="0.55000000000000004">
      <c r="B18" s="18" t="s">
        <v>232</v>
      </c>
      <c r="F18" s="12" t="s">
        <v>233</v>
      </c>
      <c r="G18" s="19"/>
      <c r="H18" s="19"/>
    </row>
    <row r="19" spans="2:8" ht="15" customHeight="1" x14ac:dyDescent="0.55000000000000004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55000000000000004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45"/>
    <row r="23" spans="2:8" ht="16.5" customHeight="1" x14ac:dyDescent="0.55000000000000004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85">
      <c r="B2" s="14" t="s">
        <v>240</v>
      </c>
    </row>
    <row r="3" spans="2:4" ht="14.65" x14ac:dyDescent="0.5">
      <c r="B3" s="15" t="s">
        <v>241</v>
      </c>
    </row>
    <row r="5" spans="2:4" ht="16.5" customHeight="1" x14ac:dyDescent="0.55000000000000004">
      <c r="B5" s="23" t="s">
        <v>242</v>
      </c>
      <c r="C5" s="23" t="s">
        <v>243</v>
      </c>
      <c r="D5" s="23" t="s">
        <v>244</v>
      </c>
    </row>
    <row r="6" spans="2:4" ht="15" customHeight="1" x14ac:dyDescent="0.55000000000000004">
      <c r="B6" s="12" t="s">
        <v>245</v>
      </c>
      <c r="C6" s="19"/>
      <c r="D6" s="24">
        <v>1</v>
      </c>
    </row>
    <row r="7" spans="2:4" ht="15" customHeight="1" x14ac:dyDescent="0.55000000000000004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55000000000000004">
      <c r="B8" s="12" t="s">
        <v>247</v>
      </c>
      <c r="C8" s="19"/>
      <c r="D8" s="25" t="str">
        <f t="shared" si="0"/>
        <v/>
      </c>
    </row>
    <row r="9" spans="2:4" ht="15" customHeight="1" x14ac:dyDescent="0.55000000000000004">
      <c r="B9" s="12" t="s">
        <v>248</v>
      </c>
      <c r="C9" s="19"/>
      <c r="D9" s="25" t="str">
        <f t="shared" si="0"/>
        <v/>
      </c>
    </row>
    <row r="10" spans="2:4" ht="15" customHeight="1" x14ac:dyDescent="0.55000000000000004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55000000000000004">
      <c r="B11" s="12" t="s">
        <v>250</v>
      </c>
      <c r="C11" s="19"/>
      <c r="D11" s="25" t="str">
        <f t="shared" si="0"/>
        <v/>
      </c>
    </row>
    <row r="12" spans="2:4" ht="15" customHeight="1" x14ac:dyDescent="0.55000000000000004">
      <c r="B12" s="12" t="s">
        <v>251</v>
      </c>
      <c r="C12" s="19"/>
      <c r="D12" s="25" t="str">
        <f t="shared" si="0"/>
        <v/>
      </c>
    </row>
    <row r="13" spans="2:4" ht="15" customHeight="1" x14ac:dyDescent="0.55000000000000004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55000000000000004">
      <c r="B14" s="12" t="s">
        <v>253</v>
      </c>
      <c r="C14" s="19"/>
      <c r="D14" s="25" t="str">
        <f t="shared" si="0"/>
        <v/>
      </c>
    </row>
    <row r="15" spans="2:4" ht="16.5" customHeight="1" x14ac:dyDescent="0.55000000000000004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55000000000000004">
      <c r="B17" s="18" t="s">
        <v>255</v>
      </c>
    </row>
    <row r="18" spans="2:4" ht="15" customHeight="1" x14ac:dyDescent="0.55000000000000004">
      <c r="B18" s="12" t="s">
        <v>256</v>
      </c>
      <c r="C18" s="19"/>
      <c r="D18" s="25" t="str">
        <f>IFERROR(C18/$C$6,"")</f>
        <v/>
      </c>
    </row>
    <row r="19" spans="2:4" ht="15" customHeight="1" x14ac:dyDescent="0.55000000000000004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85">
      <c r="B2" s="14" t="s">
        <v>258</v>
      </c>
    </row>
    <row r="3" spans="2:4" ht="14.65" x14ac:dyDescent="0.5">
      <c r="B3" s="15" t="s">
        <v>241</v>
      </c>
    </row>
    <row r="5" spans="2:4" ht="16.5" customHeight="1" x14ac:dyDescent="0.55000000000000004">
      <c r="B5" s="23" t="s">
        <v>242</v>
      </c>
      <c r="C5" s="23" t="s">
        <v>243</v>
      </c>
      <c r="D5" s="23" t="s">
        <v>259</v>
      </c>
    </row>
    <row r="6" spans="2:4" ht="15" customHeight="1" x14ac:dyDescent="0.55000000000000004">
      <c r="B6" s="18" t="s">
        <v>260</v>
      </c>
      <c r="D6" s="15"/>
    </row>
    <row r="7" spans="2:4" ht="15" customHeight="1" x14ac:dyDescent="0.55000000000000004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55000000000000004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55000000000000004">
      <c r="B9" s="28" t="s">
        <v>264</v>
      </c>
      <c r="D9" s="15"/>
    </row>
    <row r="10" spans="2:4" ht="15" customHeight="1" x14ac:dyDescent="0.55000000000000004">
      <c r="B10" s="12" t="s">
        <v>265</v>
      </c>
      <c r="C10" s="19"/>
      <c r="D10" s="15" t="s">
        <v>266</v>
      </c>
    </row>
    <row r="11" spans="2:4" ht="15" customHeight="1" x14ac:dyDescent="0.55000000000000004">
      <c r="B11" s="12" t="s">
        <v>267</v>
      </c>
      <c r="C11" s="19"/>
      <c r="D11" s="15" t="s">
        <v>266</v>
      </c>
    </row>
    <row r="12" spans="2:4" ht="15" customHeight="1" x14ac:dyDescent="0.55000000000000004">
      <c r="B12" s="12" t="s">
        <v>268</v>
      </c>
      <c r="C12" s="19"/>
      <c r="D12" s="15" t="s">
        <v>266</v>
      </c>
    </row>
    <row r="13" spans="2:4" ht="15" customHeight="1" x14ac:dyDescent="0.55000000000000004">
      <c r="B13" s="12" t="s">
        <v>269</v>
      </c>
      <c r="C13" s="19"/>
      <c r="D13" s="15" t="s">
        <v>266</v>
      </c>
    </row>
    <row r="14" spans="2:4" ht="15" customHeight="1" x14ac:dyDescent="0.55000000000000004">
      <c r="B14" s="12" t="s">
        <v>270</v>
      </c>
      <c r="C14" s="19"/>
      <c r="D14" s="15" t="s">
        <v>266</v>
      </c>
    </row>
    <row r="15" spans="2:4" ht="15" customHeight="1" x14ac:dyDescent="0.55000000000000004">
      <c r="B15" s="20" t="s">
        <v>271</v>
      </c>
      <c r="C15" s="21">
        <f>SUM(C10:C14)</f>
        <v>0</v>
      </c>
      <c r="D15" s="15"/>
    </row>
    <row r="16" spans="2:4" ht="16.5" customHeight="1" x14ac:dyDescent="0.55000000000000004">
      <c r="B16" s="5" t="s">
        <v>272</v>
      </c>
      <c r="C16" s="22">
        <f>C7+C8+C15</f>
        <v>0</v>
      </c>
      <c r="D16" s="15"/>
    </row>
    <row r="17" spans="2:4" ht="14.65" x14ac:dyDescent="0.5">
      <c r="D17" s="15"/>
    </row>
    <row r="18" spans="2:4" ht="15" customHeight="1" x14ac:dyDescent="0.55000000000000004">
      <c r="B18" s="18" t="s">
        <v>273</v>
      </c>
      <c r="D18" s="15"/>
    </row>
    <row r="19" spans="2:4" ht="15" customHeight="1" x14ac:dyDescent="0.55000000000000004">
      <c r="B19" s="12" t="s">
        <v>274</v>
      </c>
      <c r="C19" s="19"/>
      <c r="D19" s="15"/>
    </row>
    <row r="20" spans="2:4" ht="15" customHeight="1" x14ac:dyDescent="0.55000000000000004">
      <c r="B20" s="12" t="s">
        <v>275</v>
      </c>
      <c r="C20" s="19"/>
      <c r="D20" s="15"/>
    </row>
    <row r="21" spans="2:4" ht="15" customHeight="1" x14ac:dyDescent="0.55000000000000004">
      <c r="B21" s="12" t="s">
        <v>276</v>
      </c>
      <c r="C21" s="19"/>
      <c r="D21" s="15"/>
    </row>
    <row r="22" spans="2:4" ht="16.5" customHeight="1" x14ac:dyDescent="0.55000000000000004">
      <c r="B22" s="5" t="s">
        <v>277</v>
      </c>
      <c r="C22" s="22">
        <f>SUM(C19:C21)</f>
        <v>0</v>
      </c>
      <c r="D22" s="15"/>
    </row>
    <row r="23" spans="2:4" ht="14.65" x14ac:dyDescent="0.5">
      <c r="D23" s="15"/>
    </row>
    <row r="24" spans="2:4" ht="15" customHeight="1" x14ac:dyDescent="0.55000000000000004">
      <c r="B24" s="18" t="s">
        <v>278</v>
      </c>
      <c r="D24" s="15"/>
    </row>
    <row r="25" spans="2:4" ht="15" customHeight="1" x14ac:dyDescent="0.55000000000000004">
      <c r="B25" s="12" t="s">
        <v>279</v>
      </c>
      <c r="C25" s="19"/>
      <c r="D25" s="15"/>
    </row>
    <row r="26" spans="2:4" ht="15" customHeight="1" x14ac:dyDescent="0.55000000000000004">
      <c r="B26" s="12" t="s">
        <v>280</v>
      </c>
      <c r="C26" s="19"/>
      <c r="D26" s="15"/>
    </row>
    <row r="27" spans="2:4" ht="15" customHeight="1" x14ac:dyDescent="0.55000000000000004">
      <c r="B27" s="12" t="s">
        <v>281</v>
      </c>
      <c r="C27" s="19"/>
      <c r="D27" s="15"/>
    </row>
    <row r="28" spans="2:4" ht="15" customHeight="1" x14ac:dyDescent="0.55000000000000004">
      <c r="B28" s="12" t="s">
        <v>282</v>
      </c>
      <c r="C28" s="19"/>
      <c r="D28" s="15"/>
    </row>
    <row r="29" spans="2:4" ht="15" customHeight="1" x14ac:dyDescent="0.55000000000000004">
      <c r="B29" s="12" t="s">
        <v>283</v>
      </c>
      <c r="C29" s="19"/>
      <c r="D29" s="15"/>
    </row>
    <row r="30" spans="2:4" ht="16.5" customHeight="1" x14ac:dyDescent="0.55000000000000004">
      <c r="B30" s="5" t="s">
        <v>284</v>
      </c>
      <c r="C30" s="22">
        <f>SUM(C25:C29)</f>
        <v>0</v>
      </c>
      <c r="D30" s="15"/>
    </row>
    <row r="31" spans="2:4" ht="14.65" x14ac:dyDescent="0.5">
      <c r="D31" s="15"/>
    </row>
    <row r="32" spans="2:4" ht="16.5" customHeight="1" x14ac:dyDescent="0.55000000000000004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4.25" x14ac:dyDescent="0.4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85">
      <c r="B2" s="14" t="s">
        <v>0</v>
      </c>
    </row>
    <row r="3" spans="2:5" ht="14.65" x14ac:dyDescent="0.5">
      <c r="B3" s="15" t="s">
        <v>1</v>
      </c>
    </row>
    <row r="5" spans="2:5" ht="16.5" customHeight="1" x14ac:dyDescent="0.55000000000000004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55000000000000004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55000000000000004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55000000000000004">
      <c r="B8" s="12" t="s">
        <v>11</v>
      </c>
      <c r="C8" s="32"/>
      <c r="D8" s="30"/>
      <c r="E8" s="30" t="s">
        <v>12</v>
      </c>
    </row>
    <row r="9" spans="2:5" ht="15" customHeight="1" x14ac:dyDescent="0.55000000000000004">
      <c r="B9" s="12" t="s">
        <v>13</v>
      </c>
      <c r="C9" s="33"/>
      <c r="D9" s="30"/>
      <c r="E9" s="30" t="s">
        <v>14</v>
      </c>
    </row>
    <row r="10" spans="2:5" ht="15" customHeight="1" x14ac:dyDescent="0.55000000000000004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55000000000000004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55000000000000004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55000000000000004">
      <c r="B14" s="51" t="s">
        <v>22</v>
      </c>
      <c r="C14" s="46"/>
      <c r="D14" s="46"/>
      <c r="E14" s="46"/>
    </row>
    <row r="15" spans="2:5" ht="15" customHeight="1" x14ac:dyDescent="0.55000000000000004">
      <c r="B15" s="12" t="s">
        <v>23</v>
      </c>
      <c r="C15" s="36">
        <f>BAL_equity_shareholders_prior</f>
        <v>0</v>
      </c>
      <c r="D15" s="30" t="s">
        <v>24</v>
      </c>
      <c r="E15" s="30" t="s">
        <v>25</v>
      </c>
    </row>
    <row r="16" spans="2:5" ht="15" customHeight="1" x14ac:dyDescent="0.55000000000000004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55000000000000004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55000000000000004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55000000000000004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55000000000000004">
      <c r="B21" s="51" t="s">
        <v>38</v>
      </c>
      <c r="C21" s="46"/>
      <c r="D21" s="46"/>
      <c r="E21" s="46"/>
    </row>
    <row r="22" spans="2:5" ht="15" customHeight="1" x14ac:dyDescent="0.55000000000000004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55000000000000004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55000000000000004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55000000000000004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55000000000000004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55000000000000004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55000000000000004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55000000000000004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55000000000000004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55000000000000004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55000000000000004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55000000000000004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55000000000000004">
      <c r="B35" s="51" t="s">
        <v>75</v>
      </c>
      <c r="C35" s="46"/>
      <c r="D35" s="46"/>
      <c r="E35" s="46"/>
    </row>
    <row r="36" spans="2:6" ht="15" customHeight="1" x14ac:dyDescent="0.55000000000000004">
      <c r="B36" s="12" t="s">
        <v>76</v>
      </c>
      <c r="C36" s="37">
        <f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55000000000000004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55000000000000004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55000000000000004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55000000000000004">
      <c r="B42" s="5" t="s">
        <v>89</v>
      </c>
      <c r="C42" s="1"/>
      <c r="D42" s="1"/>
      <c r="E42" s="1"/>
    </row>
    <row r="43" spans="2:6" ht="15" customHeight="1" x14ac:dyDescent="0.55000000000000004">
      <c r="B43" s="12" t="s">
        <v>90</v>
      </c>
      <c r="C43" s="38"/>
      <c r="D43" s="30" t="s">
        <v>91</v>
      </c>
      <c r="E43" s="30"/>
    </row>
    <row r="44" spans="2:6" ht="15" customHeight="1" x14ac:dyDescent="0.55000000000000004">
      <c r="B44" s="12" t="s">
        <v>92</v>
      </c>
      <c r="C44" s="39"/>
      <c r="D44" s="30" t="s">
        <v>93</v>
      </c>
      <c r="E44" s="30"/>
    </row>
    <row r="45" spans="2:6" ht="15" customHeight="1" x14ac:dyDescent="0.55000000000000004">
      <c r="B45" s="12" t="s">
        <v>94</v>
      </c>
      <c r="C45" s="38"/>
      <c r="D45" s="30" t="s">
        <v>95</v>
      </c>
      <c r="E45" s="30"/>
    </row>
    <row r="46" spans="2:6" ht="16.5" customHeight="1" x14ac:dyDescent="0.55000000000000004">
      <c r="B46" s="5" t="s">
        <v>96</v>
      </c>
      <c r="C46" s="1"/>
      <c r="D46" s="1"/>
      <c r="E46" s="1"/>
    </row>
    <row r="47" spans="2:6" ht="15" customHeight="1" x14ac:dyDescent="0.55000000000000004">
      <c r="B47" s="12" t="s">
        <v>97</v>
      </c>
      <c r="C47" s="40"/>
      <c r="D47" s="30" t="s">
        <v>98</v>
      </c>
      <c r="E47" s="30"/>
    </row>
    <row r="48" spans="2:6" ht="15" customHeight="1" x14ac:dyDescent="0.55000000000000004">
      <c r="B48" s="12" t="s">
        <v>99</v>
      </c>
      <c r="C48" s="40"/>
      <c r="D48" s="30" t="s">
        <v>100</v>
      </c>
      <c r="E48" s="30"/>
    </row>
    <row r="49" spans="2:5" ht="15" customHeight="1" x14ac:dyDescent="0.55000000000000004">
      <c r="B49" s="12" t="s">
        <v>101</v>
      </c>
      <c r="C49" s="40"/>
      <c r="D49" s="30" t="s">
        <v>102</v>
      </c>
      <c r="E49" s="30"/>
    </row>
    <row r="50" spans="2:5" ht="15" customHeight="1" x14ac:dyDescent="0.55000000000000004">
      <c r="B50" s="12" t="s">
        <v>103</v>
      </c>
      <c r="C50" s="40"/>
      <c r="D50" s="30" t="s">
        <v>104</v>
      </c>
      <c r="E50" s="30"/>
    </row>
    <row r="51" spans="2:5" ht="15" customHeight="1" x14ac:dyDescent="0.55000000000000004">
      <c r="B51" s="12" t="s">
        <v>105</v>
      </c>
      <c r="C51" s="40"/>
      <c r="D51" s="30" t="s">
        <v>106</v>
      </c>
      <c r="E51" s="30"/>
    </row>
    <row r="52" spans="2:5" ht="15" customHeight="1" x14ac:dyDescent="0.55000000000000004">
      <c r="B52" s="12" t="s">
        <v>107</v>
      </c>
      <c r="C52" s="40"/>
      <c r="D52" s="30" t="s">
        <v>108</v>
      </c>
      <c r="E52" s="30"/>
    </row>
    <row r="53" spans="2:5" ht="16.5" customHeight="1" x14ac:dyDescent="0.55000000000000004">
      <c r="B53" s="5" t="s">
        <v>109</v>
      </c>
      <c r="C53" s="1"/>
      <c r="D53" s="1"/>
      <c r="E53" s="1"/>
    </row>
    <row r="54" spans="2:5" ht="15" customHeight="1" x14ac:dyDescent="0.55000000000000004">
      <c r="B54" s="12" t="s">
        <v>110</v>
      </c>
      <c r="C54" s="39"/>
      <c r="D54" s="30" t="s">
        <v>111</v>
      </c>
      <c r="E54" s="30" t="s">
        <v>112</v>
      </c>
    </row>
    <row r="55" spans="2:5" ht="15" customHeight="1" x14ac:dyDescent="0.55000000000000004">
      <c r="B55" s="12" t="s">
        <v>113</v>
      </c>
      <c r="C55" s="39"/>
      <c r="D55" s="30" t="s">
        <v>114</v>
      </c>
      <c r="E55" s="30"/>
    </row>
    <row r="56" spans="2:5" ht="15" customHeight="1" x14ac:dyDescent="0.55000000000000004">
      <c r="B56" s="12" t="s">
        <v>115</v>
      </c>
      <c r="C56" s="41"/>
      <c r="D56" s="30" t="s">
        <v>116</v>
      </c>
      <c r="E56" s="30"/>
    </row>
    <row r="57" spans="2:5" ht="15" customHeight="1" x14ac:dyDescent="0.55000000000000004">
      <c r="B57" s="12" t="s">
        <v>117</v>
      </c>
      <c r="C57" s="39"/>
      <c r="D57" s="30" t="s">
        <v>118</v>
      </c>
      <c r="E57" s="30"/>
    </row>
    <row r="58" spans="2:5" ht="15" customHeight="1" x14ac:dyDescent="0.55000000000000004">
      <c r="B58" s="12" t="s">
        <v>119</v>
      </c>
      <c r="C58" s="41"/>
      <c r="D58" s="30" t="s">
        <v>120</v>
      </c>
      <c r="E58" s="30"/>
    </row>
    <row r="59" spans="2:5" ht="15" customHeight="1" x14ac:dyDescent="0.55000000000000004">
      <c r="B59" s="12" t="s">
        <v>121</v>
      </c>
      <c r="C59" s="40"/>
      <c r="D59" s="30" t="s">
        <v>122</v>
      </c>
      <c r="E59" s="30"/>
    </row>
    <row r="60" spans="2:5" ht="15" customHeight="1" x14ac:dyDescent="0.55000000000000004">
      <c r="B60" s="12" t="s">
        <v>123</v>
      </c>
      <c r="C60" s="40"/>
      <c r="D60" s="30" t="s">
        <v>124</v>
      </c>
      <c r="E60" s="30" t="s">
        <v>125</v>
      </c>
    </row>
    <row r="61" spans="2:5" ht="16.5" customHeight="1" x14ac:dyDescent="0.55000000000000004">
      <c r="B61" s="5" t="s">
        <v>126</v>
      </c>
      <c r="C61" s="1"/>
      <c r="D61" s="1"/>
      <c r="E61" s="1"/>
    </row>
    <row r="62" spans="2:5" ht="15" customHeight="1" x14ac:dyDescent="0.55000000000000004">
      <c r="B62" s="12" t="s">
        <v>127</v>
      </c>
      <c r="C62" s="40"/>
      <c r="D62" s="30" t="s">
        <v>128</v>
      </c>
      <c r="E62" s="30"/>
    </row>
    <row r="63" spans="2:5" ht="15" customHeight="1" x14ac:dyDescent="0.55000000000000004">
      <c r="B63" s="12" t="s">
        <v>129</v>
      </c>
      <c r="C63" s="39"/>
      <c r="D63" s="30" t="s">
        <v>130</v>
      </c>
      <c r="E63" s="30"/>
    </row>
    <row r="64" spans="2:5" ht="15" customHeight="1" x14ac:dyDescent="0.55000000000000004">
      <c r="B64" s="12" t="s">
        <v>131</v>
      </c>
      <c r="C64" s="40"/>
      <c r="D64" s="30" t="s">
        <v>132</v>
      </c>
      <c r="E64" s="30"/>
    </row>
    <row r="65" spans="2:6" ht="15" customHeight="1" x14ac:dyDescent="0.55000000000000004">
      <c r="B65" s="12" t="s">
        <v>133</v>
      </c>
      <c r="C65" s="39"/>
      <c r="D65" s="30" t="s">
        <v>134</v>
      </c>
      <c r="E65" s="30"/>
    </row>
    <row r="66" spans="2:6" ht="15" customHeight="1" x14ac:dyDescent="0.55000000000000004">
      <c r="B66" s="12" t="s">
        <v>135</v>
      </c>
      <c r="C66" s="39"/>
      <c r="D66" s="30" t="s">
        <v>136</v>
      </c>
      <c r="E66" s="30"/>
    </row>
    <row r="67" spans="2:6" ht="15" customHeight="1" x14ac:dyDescent="0.55000000000000004">
      <c r="B67" s="12" t="s">
        <v>137</v>
      </c>
      <c r="C67" s="42"/>
      <c r="D67" s="30" t="s">
        <v>138</v>
      </c>
      <c r="E67" s="30" t="s">
        <v>139</v>
      </c>
    </row>
    <row r="68" spans="2:6" ht="15" customHeight="1" x14ac:dyDescent="0.55000000000000004">
      <c r="B68" s="12" t="s">
        <v>140</v>
      </c>
      <c r="C68" s="39"/>
      <c r="D68" s="30" t="s">
        <v>141</v>
      </c>
      <c r="E68" s="30" t="s">
        <v>142</v>
      </c>
    </row>
    <row r="69" spans="2:6" ht="16.5" customHeight="1" x14ac:dyDescent="0.55000000000000004">
      <c r="B69" s="5" t="s">
        <v>143</v>
      </c>
      <c r="C69" s="1"/>
      <c r="D69" s="1"/>
      <c r="E69" s="1"/>
    </row>
    <row r="70" spans="2:6" ht="15" customHeight="1" x14ac:dyDescent="0.55000000000000004">
      <c r="B70" s="12" t="s">
        <v>144</v>
      </c>
      <c r="C70" s="40"/>
      <c r="D70" s="30" t="s">
        <v>145</v>
      </c>
      <c r="E70" s="30"/>
    </row>
    <row r="71" spans="2:6" ht="15" customHeight="1" x14ac:dyDescent="0.55000000000000004">
      <c r="B71" s="12" t="s">
        <v>146</v>
      </c>
      <c r="C71" s="39"/>
      <c r="D71" s="30" t="s">
        <v>147</v>
      </c>
      <c r="E71" s="30"/>
    </row>
    <row r="72" spans="2:6" ht="15" customHeight="1" x14ac:dyDescent="0.55000000000000004">
      <c r="B72" s="12" t="s">
        <v>148</v>
      </c>
      <c r="C72" s="39"/>
      <c r="D72" s="30" t="s">
        <v>149</v>
      </c>
      <c r="E72" s="30"/>
    </row>
    <row r="73" spans="2:6" ht="15" customHeight="1" x14ac:dyDescent="0.55000000000000004">
      <c r="B73" s="12" t="s">
        <v>150</v>
      </c>
      <c r="C73" s="39"/>
      <c r="D73" s="30" t="s">
        <v>151</v>
      </c>
      <c r="E73" s="30"/>
    </row>
    <row r="74" spans="2:6" ht="16.5" customHeight="1" x14ac:dyDescent="0.55000000000000004">
      <c r="B74" s="5" t="s">
        <v>152</v>
      </c>
      <c r="C74" s="1"/>
      <c r="D74" s="1"/>
      <c r="E74" s="1"/>
    </row>
    <row r="75" spans="2:6" ht="15" customHeight="1" x14ac:dyDescent="0.55000000000000004">
      <c r="B75" s="12" t="s">
        <v>153</v>
      </c>
      <c r="C75" s="40"/>
      <c r="D75" s="30" t="s">
        <v>154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55000000000000004">
      <c r="B76" s="12" t="s">
        <v>155</v>
      </c>
      <c r="C76" s="40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tabSelected="1" workbookViewId="0">
      <selection activeCell="C14" sqref="C14"/>
    </sheetView>
  </sheetViews>
  <sheetFormatPr defaultRowHeight="14.25" x14ac:dyDescent="0.45"/>
  <cols>
    <col min="1" max="1" width="3.9296875" customWidth="1"/>
    <col min="2" max="2" width="28" customWidth="1"/>
    <col min="3" max="3" width="70" customWidth="1"/>
  </cols>
  <sheetData>
    <row r="2" spans="2:3" ht="23" customHeight="1" x14ac:dyDescent="0.85">
      <c r="B2" s="14" t="s">
        <v>286</v>
      </c>
    </row>
    <row r="4" spans="2:3" ht="15" x14ac:dyDescent="0.45">
      <c r="B4" s="43" t="s">
        <v>287</v>
      </c>
      <c r="C4" s="4" t="s">
        <v>315</v>
      </c>
    </row>
    <row r="5" spans="2:3" ht="15" x14ac:dyDescent="0.45">
      <c r="B5" s="43" t="s">
        <v>288</v>
      </c>
      <c r="C5" s="4" t="s">
        <v>316</v>
      </c>
    </row>
    <row r="6" spans="2:3" ht="15" x14ac:dyDescent="0.45">
      <c r="B6" s="43" t="s">
        <v>289</v>
      </c>
      <c r="C6" s="4" t="s">
        <v>317</v>
      </c>
    </row>
    <row r="7" spans="2:3" ht="15" x14ac:dyDescent="0.45">
      <c r="B7" s="43" t="s">
        <v>290</v>
      </c>
      <c r="C7" s="4" t="s">
        <v>318</v>
      </c>
    </row>
    <row r="8" spans="2:3" ht="15" x14ac:dyDescent="0.45">
      <c r="B8" s="43" t="s">
        <v>291</v>
      </c>
      <c r="C8" s="4" t="s">
        <v>319</v>
      </c>
    </row>
    <row r="9" spans="2:3" ht="30" x14ac:dyDescent="0.45">
      <c r="B9" s="43" t="s">
        <v>292</v>
      </c>
      <c r="C9" s="4" t="s">
        <v>320</v>
      </c>
    </row>
    <row r="10" spans="2:3" ht="15" x14ac:dyDescent="0.45">
      <c r="B10" s="43" t="s">
        <v>293</v>
      </c>
      <c r="C10" s="4" t="s">
        <v>321</v>
      </c>
    </row>
    <row r="11" spans="2:3" ht="15" x14ac:dyDescent="0.45">
      <c r="B11" s="54" t="s">
        <v>294</v>
      </c>
      <c r="C11" s="55">
        <v>0.186</v>
      </c>
    </row>
    <row r="12" spans="2:3" ht="15" x14ac:dyDescent="0.45">
      <c r="B12" s="52" t="s">
        <v>295</v>
      </c>
      <c r="C12" s="53" t="s">
        <v>296</v>
      </c>
    </row>
    <row r="13" spans="2:3" ht="15" x14ac:dyDescent="0.45">
      <c r="B13" s="43" t="s">
        <v>297</v>
      </c>
      <c r="C13" s="4">
        <v>69.91</v>
      </c>
    </row>
    <row r="14" spans="2:3" ht="15" x14ac:dyDescent="0.45">
      <c r="B14" s="43" t="s">
        <v>298</v>
      </c>
      <c r="C14" s="4" t="s">
        <v>299</v>
      </c>
    </row>
    <row r="16" spans="2:3" ht="15" x14ac:dyDescent="0.45">
      <c r="B16" s="43" t="s">
        <v>300</v>
      </c>
      <c r="C16" s="4" t="s">
        <v>301</v>
      </c>
    </row>
    <row r="17" spans="2:3" ht="29" customHeight="1" x14ac:dyDescent="0.45">
      <c r="B17" s="43" t="s">
        <v>302</v>
      </c>
      <c r="C17" s="4" t="s">
        <v>303</v>
      </c>
    </row>
    <row r="18" spans="2:3" ht="29" customHeight="1" x14ac:dyDescent="0.45">
      <c r="B18" s="43" t="s">
        <v>304</v>
      </c>
      <c r="C18" s="4" t="s">
        <v>305</v>
      </c>
    </row>
    <row r="19" spans="2:3" ht="29" customHeight="1" x14ac:dyDescent="0.45">
      <c r="B19" s="43" t="s">
        <v>306</v>
      </c>
      <c r="C19" s="4" t="s">
        <v>307</v>
      </c>
    </row>
    <row r="20" spans="2:3" ht="29" customHeight="1" x14ac:dyDescent="0.45">
      <c r="B20" s="43" t="s">
        <v>308</v>
      </c>
      <c r="C20" s="4" t="s">
        <v>309</v>
      </c>
    </row>
    <row r="22" spans="2:3" ht="15" x14ac:dyDescent="0.45">
      <c r="B22" s="43" t="s">
        <v>310</v>
      </c>
    </row>
    <row r="23" spans="2:3" ht="32" customHeight="1" x14ac:dyDescent="0.45">
      <c r="B23" s="43" t="s">
        <v>311</v>
      </c>
      <c r="C23" s="4" t="s">
        <v>312</v>
      </c>
    </row>
    <row r="24" spans="2:3" ht="45" customHeight="1" x14ac:dyDescent="0.45">
      <c r="B24" s="43" t="s">
        <v>313</v>
      </c>
      <c r="C24" s="4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Nguyễn Linh</cp:lastModifiedBy>
  <dcterms:created xsi:type="dcterms:W3CDTF">2026-04-24T19:43:19Z</dcterms:created>
  <dcterms:modified xsi:type="dcterms:W3CDTF">2026-05-11T08:29:37Z</dcterms:modified>
</cp:coreProperties>
</file>